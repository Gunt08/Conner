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01_PROJECTS\CNR\01_Sales\"/>
    </mc:Choice>
  </mc:AlternateContent>
  <bookViews>
    <workbookView xWindow="0" yWindow="0" windowWidth="23040" windowHeight="10512" activeTab="1"/>
  </bookViews>
  <sheets>
    <sheet name="รายงานยอดขาย-โอน" sheetId="1" r:id="rId1"/>
    <sheet name="Matrix" sheetId="3" r:id="rId2"/>
  </sheets>
  <definedNames>
    <definedName name="_xlnm._FilterDatabase" localSheetId="0" hidden="1">'รายงานยอดขาย-โอน'!$A$4:$Q$299</definedName>
    <definedName name="_xlnm.Print_Area" localSheetId="0">'รายงานยอดขาย-โอน'!#REF!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5" i="3" l="1"/>
  <c r="T110" i="3"/>
  <c r="T115" i="3"/>
  <c r="T120" i="3"/>
  <c r="T125" i="3"/>
  <c r="T130" i="3"/>
  <c r="T135" i="3"/>
  <c r="T140" i="3"/>
  <c r="T145" i="3"/>
  <c r="T150" i="3"/>
  <c r="T155" i="3"/>
  <c r="T160" i="3"/>
  <c r="T165" i="3"/>
  <c r="T170" i="3"/>
  <c r="T100" i="3"/>
  <c r="T89" i="3"/>
  <c r="T9" i="3"/>
  <c r="T14" i="3"/>
  <c r="T19" i="3"/>
  <c r="T24" i="3"/>
  <c r="T29" i="3"/>
  <c r="T34" i="3"/>
  <c r="T39" i="3"/>
  <c r="T44" i="3"/>
  <c r="T49" i="3"/>
  <c r="T54" i="3"/>
  <c r="T59" i="3"/>
  <c r="T64" i="3"/>
  <c r="T69" i="3"/>
  <c r="T74" i="3"/>
  <c r="T79" i="3"/>
  <c r="T84" i="3"/>
  <c r="T4" i="3"/>
  <c r="R105" i="3"/>
  <c r="R110" i="3"/>
  <c r="R115" i="3"/>
  <c r="R120" i="3"/>
  <c r="R125" i="3"/>
  <c r="R130" i="3"/>
  <c r="R135" i="3"/>
  <c r="R140" i="3"/>
  <c r="R145" i="3"/>
  <c r="R150" i="3"/>
  <c r="R155" i="3"/>
  <c r="R160" i="3"/>
  <c r="R165" i="3"/>
  <c r="R170" i="3"/>
  <c r="R100" i="3"/>
  <c r="R9" i="3"/>
  <c r="R14" i="3"/>
  <c r="R19" i="3"/>
  <c r="R24" i="3"/>
  <c r="R29" i="3"/>
  <c r="R34" i="3"/>
  <c r="R39" i="3"/>
  <c r="R44" i="3"/>
  <c r="R49" i="3"/>
  <c r="R54" i="3"/>
  <c r="R59" i="3"/>
  <c r="R64" i="3"/>
  <c r="R69" i="3"/>
  <c r="R74" i="3"/>
  <c r="R79" i="3"/>
  <c r="R84" i="3"/>
  <c r="R89" i="3"/>
  <c r="R4" i="3"/>
  <c r="T1" i="3" l="1"/>
  <c r="T2" i="3" s="1"/>
  <c r="S170" i="3" l="1"/>
  <c r="Q170" i="3"/>
  <c r="S165" i="3"/>
  <c r="Q165" i="3"/>
  <c r="S160" i="3"/>
  <c r="Q160" i="3"/>
  <c r="S155" i="3"/>
  <c r="Q155" i="3"/>
  <c r="S150" i="3"/>
  <c r="Q150" i="3"/>
  <c r="S145" i="3"/>
  <c r="Q145" i="3"/>
  <c r="S140" i="3"/>
  <c r="Q140" i="3"/>
  <c r="S135" i="3"/>
  <c r="Q135" i="3"/>
  <c r="S130" i="3"/>
  <c r="Q130" i="3"/>
  <c r="S125" i="3"/>
  <c r="Q125" i="3"/>
  <c r="S120" i="3"/>
  <c r="Q120" i="3"/>
  <c r="S115" i="3"/>
  <c r="Q115" i="3"/>
  <c r="S110" i="3"/>
  <c r="Q110" i="3"/>
  <c r="S105" i="3"/>
  <c r="Q105" i="3"/>
  <c r="S100" i="3"/>
  <c r="Q100" i="3"/>
  <c r="S89" i="3"/>
  <c r="Q89" i="3"/>
  <c r="S84" i="3"/>
  <c r="Q84" i="3"/>
  <c r="S79" i="3"/>
  <c r="Q79" i="3"/>
  <c r="S74" i="3"/>
  <c r="Q74" i="3"/>
  <c r="S69" i="3"/>
  <c r="Q69" i="3"/>
  <c r="S64" i="3"/>
  <c r="Q64" i="3"/>
  <c r="S59" i="3"/>
  <c r="Q59" i="3"/>
  <c r="S54" i="3"/>
  <c r="Q54" i="3"/>
  <c r="S49" i="3"/>
  <c r="Q49" i="3"/>
  <c r="S44" i="3"/>
  <c r="Q44" i="3"/>
  <c r="S39" i="3"/>
  <c r="Q39" i="3"/>
  <c r="S34" i="3"/>
  <c r="Q34" i="3"/>
  <c r="S29" i="3"/>
  <c r="Q29" i="3"/>
  <c r="S24" i="3"/>
  <c r="Q24" i="3"/>
  <c r="S19" i="3"/>
  <c r="Q19" i="3"/>
  <c r="S14" i="3"/>
  <c r="Q14" i="3"/>
  <c r="S9" i="3"/>
  <c r="Q9" i="3"/>
  <c r="S4" i="3"/>
  <c r="Q4" i="3"/>
  <c r="S1" i="3" l="1"/>
  <c r="S2" i="3" s="1"/>
  <c r="R1" i="3"/>
  <c r="R2" i="3" s="1"/>
  <c r="Q1" i="3"/>
  <c r="Q2" i="3" l="1"/>
</calcChain>
</file>

<file path=xl/sharedStrings.xml><?xml version="1.0" encoding="utf-8"?>
<sst xmlns="http://schemas.openxmlformats.org/spreadsheetml/2006/main" count="2532" uniqueCount="535">
  <si>
    <t>RP_FI002</t>
  </si>
  <si>
    <t>1</t>
  </si>
  <si>
    <t>บริษัท ซี09 จำกัด</t>
  </si>
  <si>
    <t>โครงการ 002 : คอนเนอร์ ราชเทวี</t>
  </si>
  <si>
    <t>ลำดับ</t>
  </si>
  <si>
    <t>ห้อง</t>
  </si>
  <si>
    <t>บ้าน
เลขที่</t>
  </si>
  <si>
    <t>แบบบ้าน</t>
  </si>
  <si>
    <t>เลขที่
โฉนด</t>
  </si>
  <si>
    <t>ราคาต่อ
ตาราง</t>
  </si>
  <si>
    <t>พื้นที่
อ.ช.</t>
  </si>
  <si>
    <t>สถานะ</t>
  </si>
  <si>
    <t>เปิด
ขาย</t>
  </si>
  <si>
    <t>ราคาขาย</t>
  </si>
  <si>
    <t>288/1</t>
  </si>
  <si>
    <t>B5</t>
  </si>
  <si>
    <t>Y</t>
  </si>
  <si>
    <t>288/2</t>
  </si>
  <si>
    <t>A1M</t>
  </si>
  <si>
    <t>ห้องว่าง</t>
  </si>
  <si>
    <t>288/3</t>
  </si>
  <si>
    <t>A2M</t>
  </si>
  <si>
    <t>288/4</t>
  </si>
  <si>
    <t>288/5</t>
  </si>
  <si>
    <t>A2</t>
  </si>
  <si>
    <t>288/6</t>
  </si>
  <si>
    <t>A1</t>
  </si>
  <si>
    <t>288/7</t>
  </si>
  <si>
    <t>B3</t>
  </si>
  <si>
    <t>288/8</t>
  </si>
  <si>
    <t>B1</t>
  </si>
  <si>
    <t>288/9</t>
  </si>
  <si>
    <t>288/10</t>
  </si>
  <si>
    <t>B4</t>
  </si>
  <si>
    <t>288/11</t>
  </si>
  <si>
    <t>B4M</t>
  </si>
  <si>
    <t>288/12</t>
  </si>
  <si>
    <t>B3R</t>
  </si>
  <si>
    <t>288/13</t>
  </si>
  <si>
    <t>B2</t>
  </si>
  <si>
    <t>288/14</t>
  </si>
  <si>
    <t>288/15</t>
  </si>
  <si>
    <t>โอน</t>
  </si>
  <si>
    <t>288/16</t>
  </si>
  <si>
    <t>288/17</t>
  </si>
  <si>
    <t>288/18</t>
  </si>
  <si>
    <t>288/19</t>
  </si>
  <si>
    <t>288/20</t>
  </si>
  <si>
    <t>288/21</t>
  </si>
  <si>
    <t>288/22</t>
  </si>
  <si>
    <t>288/23</t>
  </si>
  <si>
    <t>288/24</t>
  </si>
  <si>
    <t>288/25</t>
  </si>
  <si>
    <t>288/26</t>
  </si>
  <si>
    <t>288/27</t>
  </si>
  <si>
    <t>288/28</t>
  </si>
  <si>
    <t>288/29</t>
  </si>
  <si>
    <t>288/30</t>
  </si>
  <si>
    <t>288/31</t>
  </si>
  <si>
    <t>288/32</t>
  </si>
  <si>
    <t>288/33</t>
  </si>
  <si>
    <t>288/34</t>
  </si>
  <si>
    <t>288/35</t>
  </si>
  <si>
    <t>288/36</t>
  </si>
  <si>
    <t>288/37</t>
  </si>
  <si>
    <t>288/38</t>
  </si>
  <si>
    <t>288/39</t>
  </si>
  <si>
    <t>288/40</t>
  </si>
  <si>
    <t>288/41</t>
  </si>
  <si>
    <t>288/42</t>
  </si>
  <si>
    <t>288/43</t>
  </si>
  <si>
    <t>288/44</t>
  </si>
  <si>
    <t>288/45</t>
  </si>
  <si>
    <t>288/46</t>
  </si>
  <si>
    <t>288/47</t>
  </si>
  <si>
    <t>288/48</t>
  </si>
  <si>
    <t>288/49</t>
  </si>
  <si>
    <t>288/50</t>
  </si>
  <si>
    <t>C1</t>
  </si>
  <si>
    <t>288/51</t>
  </si>
  <si>
    <t>C4</t>
  </si>
  <si>
    <t>288/52</t>
  </si>
  <si>
    <t>288/53</t>
  </si>
  <si>
    <t>288/54</t>
  </si>
  <si>
    <t>288/55</t>
  </si>
  <si>
    <t>288/56</t>
  </si>
  <si>
    <t>288/57</t>
  </si>
  <si>
    <t>288/58</t>
  </si>
  <si>
    <t>288/59</t>
  </si>
  <si>
    <t>288/60</t>
  </si>
  <si>
    <t>288/61</t>
  </si>
  <si>
    <t>288/62</t>
  </si>
  <si>
    <t>288/63</t>
  </si>
  <si>
    <t>288/64</t>
  </si>
  <si>
    <t>288/65</t>
  </si>
  <si>
    <t>288/66</t>
  </si>
  <si>
    <t>288/67</t>
  </si>
  <si>
    <t>288/68</t>
  </si>
  <si>
    <t>288/69</t>
  </si>
  <si>
    <t>288/70</t>
  </si>
  <si>
    <t>288/71</t>
  </si>
  <si>
    <t>288/72</t>
  </si>
  <si>
    <t>288/73</t>
  </si>
  <si>
    <t>288/74</t>
  </si>
  <si>
    <t>288/75</t>
  </si>
  <si>
    <t>288/76</t>
  </si>
  <si>
    <t>288/77</t>
  </si>
  <si>
    <t>288/78</t>
  </si>
  <si>
    <t>288/79</t>
  </si>
  <si>
    <t>288/80</t>
  </si>
  <si>
    <t>288/81</t>
  </si>
  <si>
    <t>288/82</t>
  </si>
  <si>
    <t>288/83</t>
  </si>
  <si>
    <t>288/84</t>
  </si>
  <si>
    <t>288/85</t>
  </si>
  <si>
    <t>288/86</t>
  </si>
  <si>
    <t>288/87</t>
  </si>
  <si>
    <t>288/88</t>
  </si>
  <si>
    <t>288/89</t>
  </si>
  <si>
    <t>288/90</t>
  </si>
  <si>
    <t>288/91</t>
  </si>
  <si>
    <t>288/92</t>
  </si>
  <si>
    <t>288/93</t>
  </si>
  <si>
    <t>288/94</t>
  </si>
  <si>
    <t>288/95</t>
  </si>
  <si>
    <t>288/96</t>
  </si>
  <si>
    <t>288/97</t>
  </si>
  <si>
    <t>288/98</t>
  </si>
  <si>
    <t>288/99</t>
  </si>
  <si>
    <t>288/100</t>
  </si>
  <si>
    <t>288/101</t>
  </si>
  <si>
    <t>288/102</t>
  </si>
  <si>
    <t>288/103</t>
  </si>
  <si>
    <t>288/104</t>
  </si>
  <si>
    <t>288/105</t>
  </si>
  <si>
    <t>288/106</t>
  </si>
  <si>
    <t>288/107</t>
  </si>
  <si>
    <t>288/108</t>
  </si>
  <si>
    <t>288/109</t>
  </si>
  <si>
    <t>288/110</t>
  </si>
  <si>
    <t>288/111</t>
  </si>
  <si>
    <t>288/112</t>
  </si>
  <si>
    <t>288/113</t>
  </si>
  <si>
    <t>288/114</t>
  </si>
  <si>
    <t>288/115</t>
  </si>
  <si>
    <t>288/116</t>
  </si>
  <si>
    <t>288/117</t>
  </si>
  <si>
    <t>288/118</t>
  </si>
  <si>
    <t>288/119</t>
  </si>
  <si>
    <t>288/120</t>
  </si>
  <si>
    <t>288/121</t>
  </si>
  <si>
    <t>288/122</t>
  </si>
  <si>
    <t>288/123</t>
  </si>
  <si>
    <t>12A01</t>
  </si>
  <si>
    <t>288/124</t>
  </si>
  <si>
    <t>12A02</t>
  </si>
  <si>
    <t>288/125</t>
  </si>
  <si>
    <t>12A03</t>
  </si>
  <si>
    <t>288/126</t>
  </si>
  <si>
    <t>12A04</t>
  </si>
  <si>
    <t>288/127</t>
  </si>
  <si>
    <t>12A05</t>
  </si>
  <si>
    <t>288/128</t>
  </si>
  <si>
    <t>12A06</t>
  </si>
  <si>
    <t>288/129</t>
  </si>
  <si>
    <t>12A07</t>
  </si>
  <si>
    <t>288/130</t>
  </si>
  <si>
    <t>12A08</t>
  </si>
  <si>
    <t>288/131</t>
  </si>
  <si>
    <t>12A09</t>
  </si>
  <si>
    <t>288/132</t>
  </si>
  <si>
    <t>12A10</t>
  </si>
  <si>
    <t>288/133</t>
  </si>
  <si>
    <t>12A11</t>
  </si>
  <si>
    <t>288/134</t>
  </si>
  <si>
    <t>12A12</t>
  </si>
  <si>
    <t>288/135</t>
  </si>
  <si>
    <t>C2</t>
  </si>
  <si>
    <t>288/136</t>
  </si>
  <si>
    <t>288/137</t>
  </si>
  <si>
    <t>288/138</t>
  </si>
  <si>
    <t>288/139</t>
  </si>
  <si>
    <t>288/140</t>
  </si>
  <si>
    <t>288/141</t>
  </si>
  <si>
    <t>288/142</t>
  </si>
  <si>
    <t>288/143</t>
  </si>
  <si>
    <t>288/144</t>
  </si>
  <si>
    <t>288/145</t>
  </si>
  <si>
    <t>288/146</t>
  </si>
  <si>
    <t>288/147</t>
  </si>
  <si>
    <t>288/148</t>
  </si>
  <si>
    <t>288/149</t>
  </si>
  <si>
    <t>288/150</t>
  </si>
  <si>
    <t>288/151</t>
  </si>
  <si>
    <t>288/152</t>
  </si>
  <si>
    <t>288/153</t>
  </si>
  <si>
    <t>288/154</t>
  </si>
  <si>
    <t>288/155</t>
  </si>
  <si>
    <t>288/156</t>
  </si>
  <si>
    <t>288/157</t>
  </si>
  <si>
    <t>288/158</t>
  </si>
  <si>
    <t>C3</t>
  </si>
  <si>
    <t>288/159</t>
  </si>
  <si>
    <t>288/160</t>
  </si>
  <si>
    <t>288/161</t>
  </si>
  <si>
    <t>288/162</t>
  </si>
  <si>
    <t>288/163</t>
  </si>
  <si>
    <t>288/164</t>
  </si>
  <si>
    <t>288/165</t>
  </si>
  <si>
    <t>288/166</t>
  </si>
  <si>
    <t>288/167</t>
  </si>
  <si>
    <t>288/168</t>
  </si>
  <si>
    <t>288/169</t>
  </si>
  <si>
    <t>288/170</t>
  </si>
  <si>
    <t>288/171</t>
  </si>
  <si>
    <t>288/172</t>
  </si>
  <si>
    <t>288/173</t>
  </si>
  <si>
    <t>288/174</t>
  </si>
  <si>
    <t>288/175</t>
  </si>
  <si>
    <t>288/176</t>
  </si>
  <si>
    <t>288/177</t>
  </si>
  <si>
    <t>288/178</t>
  </si>
  <si>
    <t>288/179</t>
  </si>
  <si>
    <t>288/180</t>
  </si>
  <si>
    <t>288/181</t>
  </si>
  <si>
    <t>288/182</t>
  </si>
  <si>
    <t>288/183</t>
  </si>
  <si>
    <t>288/184</t>
  </si>
  <si>
    <t>288/185</t>
  </si>
  <si>
    <t>288/186</t>
  </si>
  <si>
    <t>288/187</t>
  </si>
  <si>
    <t>288/188</t>
  </si>
  <si>
    <t>288/189</t>
  </si>
  <si>
    <t>288/190</t>
  </si>
  <si>
    <t>288/191</t>
  </si>
  <si>
    <t>288/192</t>
  </si>
  <si>
    <t>288/193</t>
  </si>
  <si>
    <t>288/194</t>
  </si>
  <si>
    <t>288/195</t>
  </si>
  <si>
    <t>B6</t>
  </si>
  <si>
    <t>288/196</t>
  </si>
  <si>
    <t>D1</t>
  </si>
  <si>
    <t>288/197</t>
  </si>
  <si>
    <t>GM</t>
  </si>
  <si>
    <t>288/198</t>
  </si>
  <si>
    <t>F</t>
  </si>
  <si>
    <t>288/199</t>
  </si>
  <si>
    <t>G</t>
  </si>
  <si>
    <t>288/200</t>
  </si>
  <si>
    <t>D2</t>
  </si>
  <si>
    <t>288/201</t>
  </si>
  <si>
    <t>H</t>
  </si>
  <si>
    <t>288/202</t>
  </si>
  <si>
    <t>288/203</t>
  </si>
  <si>
    <t>288/204</t>
  </si>
  <si>
    <t>288/205</t>
  </si>
  <si>
    <t>288/206</t>
  </si>
  <si>
    <t>288/207</t>
  </si>
  <si>
    <t>288/208</t>
  </si>
  <si>
    <t>288/209</t>
  </si>
  <si>
    <t>288/210</t>
  </si>
  <si>
    <t>288/211</t>
  </si>
  <si>
    <t>288/212</t>
  </si>
  <si>
    <t>288/213</t>
  </si>
  <si>
    <t>288/214</t>
  </si>
  <si>
    <t>288/215</t>
  </si>
  <si>
    <t>288/216</t>
  </si>
  <si>
    <t>288/217</t>
  </si>
  <si>
    <t>288/218</t>
  </si>
  <si>
    <t>288/219</t>
  </si>
  <si>
    <t>288/220</t>
  </si>
  <si>
    <t>288/221</t>
  </si>
  <si>
    <t>288/222</t>
  </si>
  <si>
    <t>288/223</t>
  </si>
  <si>
    <t>288/224</t>
  </si>
  <si>
    <t>288/225</t>
  </si>
  <si>
    <t>288/226</t>
  </si>
  <si>
    <t>288/227</t>
  </si>
  <si>
    <t>288/228</t>
  </si>
  <si>
    <t>288/229</t>
  </si>
  <si>
    <t>288/230</t>
  </si>
  <si>
    <t>288/231</t>
  </si>
  <si>
    <t>288/232</t>
  </si>
  <si>
    <t>288/233</t>
  </si>
  <si>
    <t>288/234</t>
  </si>
  <si>
    <t>288/235</t>
  </si>
  <si>
    <t>288/236</t>
  </si>
  <si>
    <t>288/237</t>
  </si>
  <si>
    <t>288/238</t>
  </si>
  <si>
    <t>288/239</t>
  </si>
  <si>
    <t>288/240</t>
  </si>
  <si>
    <t>288/241</t>
  </si>
  <si>
    <t>288/242</t>
  </si>
  <si>
    <t>288/243</t>
  </si>
  <si>
    <t>288/244</t>
  </si>
  <si>
    <t>288/245</t>
  </si>
  <si>
    <t>288/246</t>
  </si>
  <si>
    <t>288/247</t>
  </si>
  <si>
    <t>288/248</t>
  </si>
  <si>
    <t>288/249</t>
  </si>
  <si>
    <t>288/250</t>
  </si>
  <si>
    <t>288/251</t>
  </si>
  <si>
    <t>288/252</t>
  </si>
  <si>
    <t>288/253</t>
  </si>
  <si>
    <t>288/254</t>
  </si>
  <si>
    <t>288/255</t>
  </si>
  <si>
    <t>288/256</t>
  </si>
  <si>
    <t>288/257</t>
  </si>
  <si>
    <t>288/258</t>
  </si>
  <si>
    <t>288/259</t>
  </si>
  <si>
    <t>288/260</t>
  </si>
  <si>
    <t>288/261</t>
  </si>
  <si>
    <t>288/262</t>
  </si>
  <si>
    <t>288/263</t>
  </si>
  <si>
    <t>288/264</t>
  </si>
  <si>
    <t>288/265</t>
  </si>
  <si>
    <t>288/266</t>
  </si>
  <si>
    <t>288/267</t>
  </si>
  <si>
    <t>288/268</t>
  </si>
  <si>
    <t>288/269</t>
  </si>
  <si>
    <t>288/270</t>
  </si>
  <si>
    <t>288/271</t>
  </si>
  <si>
    <t>288/272</t>
  </si>
  <si>
    <t>288/273</t>
  </si>
  <si>
    <t>288/274</t>
  </si>
  <si>
    <t>288/275</t>
  </si>
  <si>
    <t>288/276</t>
  </si>
  <si>
    <t>288/277</t>
  </si>
  <si>
    <t>288/278</t>
  </si>
  <si>
    <t>288/279</t>
  </si>
  <si>
    <t>288/280</t>
  </si>
  <si>
    <t>288/281</t>
  </si>
  <si>
    <t>288/282</t>
  </si>
  <si>
    <t>288/283</t>
  </si>
  <si>
    <t>288/284</t>
  </si>
  <si>
    <t>288/285</t>
  </si>
  <si>
    <t>288/286</t>
  </si>
  <si>
    <t>288/287</t>
  </si>
  <si>
    <t>288/288</t>
  </si>
  <si>
    <t>288/289</t>
  </si>
  <si>
    <t>288/290</t>
  </si>
  <si>
    <t>288/291</t>
  </si>
  <si>
    <t>288/292</t>
  </si>
  <si>
    <t>PENL</t>
  </si>
  <si>
    <t>288/293</t>
  </si>
  <si>
    <t>288/294</t>
  </si>
  <si>
    <t>PENS</t>
  </si>
  <si>
    <t>รวม 002 : คอนเนอร์ ราชเทวี</t>
  </si>
  <si>
    <t xml:space="preserve">                                                                                                               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</si>
  <si>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</si>
  <si>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</si>
  <si>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</si>
  <si>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</si>
  <si>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</si>
  <si>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</si>
  <si>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</si>
  <si>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</si>
  <si>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</si>
  <si>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TH</t>
  </si>
  <si>
    <t>PENT LOFT</t>
  </si>
  <si>
    <t>PENT SM</t>
  </si>
  <si>
    <t>OS</t>
  </si>
  <si>
    <t>Facility</t>
  </si>
  <si>
    <t>12A</t>
  </si>
  <si>
    <t>B3M</t>
  </si>
  <si>
    <t>รายงานสินค้า</t>
  </si>
  <si>
    <t>หน้า</t>
  </si>
  <si>
    <t>ผู้พิมพ์</t>
  </si>
  <si>
    <t>กันต์ มะลิทอง</t>
  </si>
  <si>
    <t>วันที่ 26/05/2569</t>
  </si>
  <si>
    <t>วันที่</t>
  </si>
  <si>
    <t>26/05/2026</t>
  </si>
  <si>
    <t>พื้นที่
ขาย</t>
  </si>
  <si>
    <t>Lo
ck</t>
  </si>
  <si>
    <t>จำนวนเงิน
ที่ชำระ</t>
  </si>
  <si>
    <t>มูลค่าสัญญา</t>
  </si>
  <si>
    <t>ราคาขาย
สุทธิ</t>
  </si>
  <si>
    <t>ลูกค้า/โอน</t>
  </si>
  <si>
    <t>N</t>
  </si>
  <si>
    <t>นายอำนาจ ธีระประดิษฐผล</t>
  </si>
  <si>
    <t>นางสาวชัญญา จรัสวงศ์มงคล</t>
  </si>
  <si>
    <t>นางสาวณธนัชสร ภุมมาลี</t>
  </si>
  <si>
    <t>นางสาวนิสรีน ขำโสภา</t>
  </si>
  <si>
    <t>นายปรินทร์ นวชาตโฆษิต</t>
  </si>
  <si>
    <t>จอง</t>
  </si>
  <si>
    <t>นายธีรพงษ์ เกิดเอี่ยม</t>
  </si>
  <si>
    <t>นางสาวช่อทิพย์ ระลอก</t>
  </si>
  <si>
    <t>นางสาวพุทธชาด สุพจน์พงศ์</t>
  </si>
  <si>
    <t>นางสาวนันท์นภัส จันทน์หอมไกล</t>
  </si>
  <si>
    <t>Ms.XIAOCHUN GAO</t>
  </si>
  <si>
    <t>Mr.SHEN HUANG</t>
  </si>
  <si>
    <t>Mr.BIN SHU</t>
  </si>
  <si>
    <t>Ms.TING ZHOU</t>
  </si>
  <si>
    <t>Ms.QINGYUN YANG</t>
  </si>
  <si>
    <t>นางจิรัฐยา มาริแนคชิโอ</t>
  </si>
  <si>
    <t>Ms.YI XIE</t>
  </si>
  <si>
    <t>Mr.DAN DAI</t>
  </si>
  <si>
    <t>Mr.MUXIN LIN</t>
  </si>
  <si>
    <t>Mr.SHIHUA CHEN</t>
  </si>
  <si>
    <t>Mr.Bing Han</t>
  </si>
  <si>
    <t>Ms.HAIYAN LU</t>
  </si>
  <si>
    <t>นายจำรัส พิทักษ์พงศ์เมธา</t>
  </si>
  <si>
    <t>Ms.RUI SUN</t>
  </si>
  <si>
    <t>Mr.SONGBIAO SHI</t>
  </si>
  <si>
    <t>Ms.VAI SAN FONG</t>
  </si>
  <si>
    <t>นายสิทธานต์ ธงศรีเจริญ</t>
  </si>
  <si>
    <t>Ms.CHUNHUI JIN</t>
  </si>
  <si>
    <t>Mr.Ambrish Kumar Maheshwari</t>
  </si>
  <si>
    <t>Ms.YUN QIN</t>
  </si>
  <si>
    <t>Ms.HUI SUN</t>
  </si>
  <si>
    <t>นางสาวพิชชาภรณ์ รุ่งกีรติกุล</t>
  </si>
  <si>
    <t>Ms.YAN LIU</t>
  </si>
  <si>
    <t>Miss.HUIYING YUAN</t>
  </si>
  <si>
    <t>Mr.YAOGEN HAN</t>
  </si>
  <si>
    <t>นายกิตติ คุณากรสวัสดิ์</t>
  </si>
  <si>
    <t>นางสาวฉัตรชนก ธรรมชาติ</t>
  </si>
  <si>
    <t>นายภัทร จารุอริยานนท์</t>
  </si>
  <si>
    <t>นายเพิ่มเกียรติ เกษกุล</t>
  </si>
  <si>
    <t>Mr.Hsiang-Ting Lee</t>
  </si>
  <si>
    <t>นางสาวกนกอร อัครหิรัญศิริกร</t>
  </si>
  <si>
    <t>นายปริญ ธนไพศาลกิจ</t>
  </si>
  <si>
    <t>นางสาวเขื่อนแก้ว วรากรกาญจน์</t>
  </si>
  <si>
    <t>นายภานุวัฒน์ กิจวงศ์วิเศษ</t>
  </si>
  <si>
    <t>นางภารดี เศรษฐ์ฤทธิกุล</t>
  </si>
  <si>
    <t>Mr.Huihui Chen</t>
  </si>
  <si>
    <t>นางสาววริศรา ตันยิ่งยง</t>
  </si>
  <si>
    <t>นางบุปผา เผ่าสวัสดิ์</t>
  </si>
  <si>
    <t>นางสาววศินี เติมธนาภรณ์</t>
  </si>
  <si>
    <t>Mr.LAN QIAOYUN</t>
  </si>
  <si>
    <t>นายธนพล วรรธนะพิศิษฎ์</t>
  </si>
  <si>
    <t>นายวันฉัตร โกมล</t>
  </si>
  <si>
    <t>นายบุญเกียรติ ทวีเติมสกุล</t>
  </si>
  <si>
    <t>นายธีธัช พิพัฒนพงษ์วงศ์</t>
  </si>
  <si>
    <t>Ms.Shuangshuang Lin</t>
  </si>
  <si>
    <t>Mr.WING CHI NGAI</t>
  </si>
  <si>
    <t>Mr.YUNKE XIE</t>
  </si>
  <si>
    <t>Mr.LIWEI XU</t>
  </si>
  <si>
    <t>Ms.XIAOQING HAN</t>
  </si>
  <si>
    <t>Mr.ZHEMIN CHEN</t>
  </si>
  <si>
    <t>Mr.FEI GONG</t>
  </si>
  <si>
    <t>Mr.LIHUI ZHU</t>
  </si>
  <si>
    <t>Mr.JIONG XU</t>
  </si>
  <si>
    <t>Mr.WEIHUA ZHU</t>
  </si>
  <si>
    <t>Mr.GUOMIAO HUANG</t>
  </si>
  <si>
    <t>Mr.XINJIAN WANG</t>
  </si>
  <si>
    <t>นางสาวรัตติญา กัมพลาศิริ</t>
  </si>
  <si>
    <t>นายสุรกิจ พึ่งพาพงศ์</t>
  </si>
  <si>
    <t>นางสาววิรากานต์ สมานคติวัฒน์</t>
  </si>
  <si>
    <t>นายธีรวัต ก่อเกิดทรัพย์</t>
  </si>
  <si>
    <t>นายชาตรี อารีวานิช</t>
  </si>
  <si>
    <t>นางสาวชาลิสา สุวรรณเทวะคุปต์</t>
  </si>
  <si>
    <t>นายนวิน ฌนาภัทรศิริ</t>
  </si>
  <si>
    <t>นางฐิติมา เอี่ยมพิกุล</t>
  </si>
  <si>
    <t>นายนภนต์ เพ็ชรพลาย</t>
  </si>
  <si>
    <t>นางสาวศุลีพร อุตมาภินันท์</t>
  </si>
  <si>
    <t>นายนรธิป ธนสารศิลป์</t>
  </si>
  <si>
    <t>นายณัฐพล ลิ้มวรรณดี</t>
  </si>
  <si>
    <t>นายเนวินธุ์ ช่อชัยทิพฐ์</t>
  </si>
  <si>
    <t>นายสรรพสิทธิ์ มิ่งสิทธิชัย</t>
  </si>
  <si>
    <t>Mr.Christian Joel De Temple</t>
  </si>
  <si>
    <t>นางสาวธีราพร ชมภูแสง</t>
  </si>
  <si>
    <t>นางสาวสุขใจ ติยะพิบูลย์ไชยา</t>
  </si>
  <si>
    <t>บริษัท แสงฟ้าก่อสร้าง จำกัด</t>
  </si>
  <si>
    <t>นางสาวศุภลักษณ์ สุขะกูล</t>
  </si>
  <si>
    <t>บริษัท เนฟ เวนเชอร์ส์ เรียลตี้ อินเตอร์เนชั่นแนล จำกัด นางเพียงวรินทร์  เผ่าสวัสดิ์</t>
  </si>
  <si>
    <t>นายปิยวัฒน์ ชินแสงอร่าม</t>
  </si>
  <si>
    <t>นายวีริศ วาณิชตันติกุล</t>
  </si>
  <si>
    <t>Mr.ZHENG ZHU</t>
  </si>
  <si>
    <t>Miss.Wang Huiyin</t>
  </si>
  <si>
    <t>Miss.HUIPING LIAN</t>
  </si>
  <si>
    <t>Mr.YANGYANG ZHANG</t>
  </si>
  <si>
    <t>Ms.WENLAN SHAO</t>
  </si>
  <si>
    <t>นายมนัส ทารินทร์</t>
  </si>
  <si>
    <t>Ms.WEN CHEN</t>
  </si>
  <si>
    <t>Mr.SU TENG</t>
  </si>
  <si>
    <t>Mr.CHEN QING</t>
  </si>
  <si>
    <t>Ms.YUNXIA LAN</t>
  </si>
  <si>
    <t>Ms.XIANG LI</t>
  </si>
  <si>
    <t>Ms.YUNYE GONG</t>
  </si>
  <si>
    <t>Mr.HUAXIN SHE</t>
  </si>
  <si>
    <t>Mr.Win Myint</t>
  </si>
  <si>
    <t>นายณัฐเศรษฐ์ ไตรทิพย์เจริญชัย</t>
  </si>
  <si>
    <t>นายชารินทร์ พลภาณุมาศ</t>
  </si>
  <si>
    <t>นางสาวอภิสร์ญา พิสิฐตระกูลพร</t>
  </si>
  <si>
    <t>นางสาวธีริศรา ศานต์รักษ์</t>
  </si>
  <si>
    <t>นางสาวอรชพร ไตรวนาธรรม</t>
  </si>
  <si>
    <t>นายวีรวิทย์ รัตนศรีวิจิตร</t>
  </si>
  <si>
    <t>นายภูริชญ์ เพ็ชร์พิรุณ</t>
  </si>
  <si>
    <t>นายภากร วีรางกูร</t>
  </si>
  <si>
    <t>นายบุญส่ง พิทักษ์รักษ์สันติ</t>
  </si>
  <si>
    <t>นางสาวนัยน์ภัค คุณาวิริยะสิริ</t>
  </si>
  <si>
    <t>นางสาวหทัยรัตน์ พรรณาปยุกต์</t>
  </si>
  <si>
    <t>นางสาวธิดาพร เหล่าวิเศษกุล</t>
  </si>
  <si>
    <t>นางสาววรรณิกานต์ แซ่ตัน</t>
  </si>
  <si>
    <t>Mrs.SAN SAN WIN</t>
  </si>
  <si>
    <t>Miss.SHUJUAN PENG</t>
  </si>
  <si>
    <t>นางสาวปภานันท์ ล้วนโกศลชัย</t>
  </si>
  <si>
    <t>นายเมธา อู่วุฒิพงษ์</t>
  </si>
  <si>
    <t>นางสาวธนภร บริบูรณ์</t>
  </si>
  <si>
    <t>นางสาวศรีวิกร อนะธรรมสมบัติ</t>
  </si>
  <si>
    <t>นายวุฒิชาย หงส์ลำพอง</t>
  </si>
  <si>
    <t>นางสาวสุจิตรา โชติวาณี</t>
  </si>
  <si>
    <t>นางสาวณัฐปรียา วรวิชชวงษ์</t>
  </si>
  <si>
    <t>นายกิตติศักดิ์ วังสถาพร</t>
  </si>
  <si>
    <t>Ms.GUIHUA GONG</t>
  </si>
  <si>
    <t>Ms.FANGFANG DU</t>
  </si>
  <si>
    <t>Ms.OU LI</t>
  </si>
  <si>
    <t>Mr.JUN ZHAN</t>
  </si>
  <si>
    <t>Mr.LEI WANG</t>
  </si>
  <si>
    <t>Ms.SHANNI CHEN</t>
  </si>
  <si>
    <t>Miss.Chunlu Zhan</t>
  </si>
  <si>
    <t>Mr.KAI MU</t>
  </si>
  <si>
    <t>Ms.JING MA</t>
  </si>
  <si>
    <t>Ms.JIN LI</t>
  </si>
  <si>
    <t>นายKYAW THU HTIKE</t>
  </si>
  <si>
    <t>Mr.JUN LIU</t>
  </si>
  <si>
    <t>Ms.XUYAN CHEN</t>
  </si>
  <si>
    <t>Miss.YILU CHEN</t>
  </si>
  <si>
    <t>Ms.CONG CHENG</t>
  </si>
  <si>
    <t>นายสุวิจักขณ์ ธนะโสภณ</t>
  </si>
  <si>
    <t>Ms.JIAOJIAO ZHANG</t>
  </si>
  <si>
    <t>Mr.RUJIE LU</t>
  </si>
  <si>
    <t>Mr.TE CHENG JOHNNY HO</t>
  </si>
  <si>
    <t>Mr.WEI LI</t>
  </si>
  <si>
    <t>นายธนัสม์ปกรณ์ นิยมการ</t>
  </si>
  <si>
    <t>นางสาวภาสวรรณ นวนิธิกุล</t>
  </si>
  <si>
    <t>Mr.HAIBING LU</t>
  </si>
  <si>
    <t>นายชัยวัฒน์ จักรแต๋</t>
  </si>
  <si>
    <t>ห้องเช่า</t>
  </si>
  <si>
    <t>Fitted</t>
  </si>
  <si>
    <t>Fully Dec.</t>
  </si>
  <si>
    <t>Show Unit</t>
  </si>
  <si>
    <t>Furnished</t>
  </si>
  <si>
    <t>Fully Fur.</t>
  </si>
  <si>
    <t>สถานะเฟอร์นิเจอร์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</si>
</sst>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>
    <font>
      <sz val="10"/>
      <color rgb="FF000000"/>
      <name val="Arial"/>
      <charset val="1"/>
    </font>
    <font>
      <sz val="11"/>
      <color theme="1"/>
      <name val="Calibri"/>
      <family val="2"/>
      <charset val="222"/>
      <scheme val="minor"/>
    </font>
    <font>
      <sz val="10"/>
      <color rgb="FF000000"/>
      <name val="Arial"/>
      <family val="2"/>
    </font>
    <font>
      <sz val="10"/>
      <color rgb="FF000000"/>
      <name val="Arial"/>
      <charset val="1"/>
    </font>
    <font>
      <sz val="11"/>
      <color theme="1"/>
      <name val="Tahoma"/>
      <family val="2"/>
    </font>
    <font>
      <sz val="16"/>
      <color theme="1"/>
      <name val="Tahoma"/>
      <family val="2"/>
    </font>
    <font>
      <sz val="11"/>
      <color theme="0"/>
      <name val="Tahoma"/>
      <family val="2"/>
    </font>
    <font>
      <b/>
      <sz val="14"/>
      <color theme="0"/>
      <name val="Tahoma"/>
      <family val="2"/>
    </font>
    <font>
      <b/>
      <sz val="16"/>
      <color theme="1"/>
      <name val="Tahoma"/>
      <family val="2"/>
    </font>
    <font>
      <b/>
      <sz val="14"/>
      <color theme="1"/>
      <name val="Tahoma"/>
      <family val="2"/>
    </font>
    <font>
      <sz val="20"/>
      <color theme="1"/>
      <name val="Tahoma"/>
      <family val="2"/>
    </font>
    <font>
      <b/>
      <sz val="16"/>
      <name val="Tahoma"/>
      <family val="2"/>
    </font>
    <font>
      <sz val="16"/>
      <name val="Tahoma"/>
      <family val="2"/>
    </font>
    <font>
      <b/>
      <sz val="16"/>
      <color rgb="FFC00000"/>
      <name val="Tahoma"/>
      <family val="2"/>
    </font>
    <font>
      <sz val="16"/>
      <color rgb="FFC00000"/>
      <name val="Tahoma"/>
      <family val="2"/>
    </font>
    <font>
      <b/>
      <sz val="18"/>
      <color theme="1"/>
      <name val="Tahoma"/>
      <family val="2"/>
    </font>
    <font>
      <sz val="12"/>
      <color indexed="8"/>
      <name val="TH Sarabun New"/>
      <charset val="1"/>
    </font>
    <font>
      <b/>
      <sz val="15"/>
      <color indexed="8"/>
      <name val="TH Sarabun New"/>
      <charset val="1"/>
    </font>
    <font>
      <b/>
      <sz val="13"/>
      <color indexed="8"/>
      <name val="TH Sarabun New"/>
      <charset val="1"/>
    </font>
    <font>
      <b/>
      <sz val="12"/>
      <color indexed="8"/>
      <name val="TH Sarabun New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dashDotDot">
        <color auto="1"/>
      </right>
      <top style="medium">
        <color auto="1"/>
      </top>
      <bottom/>
      <diagonal/>
    </border>
    <border>
      <left style="dashDotDot">
        <color auto="1"/>
      </left>
      <right style="dashDotDot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dashDotDot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dashDot">
        <color auto="1"/>
      </right>
      <top style="dashDotDot">
        <color auto="1"/>
      </top>
      <bottom style="dashDot">
        <color auto="1"/>
      </bottom>
      <diagonal/>
    </border>
    <border>
      <left style="dashDot">
        <color auto="1"/>
      </left>
      <right style="dashDotDot">
        <color auto="1"/>
      </right>
      <top style="dashDotDot">
        <color auto="1"/>
      </top>
      <bottom style="dashDot">
        <color auto="1"/>
      </bottom>
      <diagonal/>
    </border>
    <border>
      <left style="medium">
        <color auto="1"/>
      </left>
      <right style="dashDotDot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dashDotDot">
        <color auto="1"/>
      </left>
      <right style="dashDotDot">
        <color auto="1"/>
      </right>
      <top/>
      <bottom/>
      <diagonal/>
    </border>
    <border>
      <left style="dashDotDot">
        <color auto="1"/>
      </left>
      <right style="medium">
        <color auto="1"/>
      </right>
      <top/>
      <bottom/>
      <diagonal/>
    </border>
    <border>
      <left style="medium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ashDot">
        <color auto="1"/>
      </left>
      <right style="dashDotDot">
        <color auto="1"/>
      </right>
      <top style="dashDot">
        <color auto="1"/>
      </top>
      <bottom style="dashDot">
        <color auto="1"/>
      </bottom>
      <diagonal/>
    </border>
    <border>
      <left style="medium">
        <color auto="1"/>
      </left>
      <right style="dashDotDot">
        <color auto="1"/>
      </right>
      <top/>
      <bottom style="dashDotDot">
        <color auto="1"/>
      </bottom>
      <diagonal/>
    </border>
    <border>
      <left style="medium">
        <color auto="1"/>
      </left>
      <right/>
      <top/>
      <bottom style="dashDotDot">
        <color auto="1"/>
      </bottom>
      <diagonal/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 style="dashDotDot">
        <color auto="1"/>
      </left>
      <right style="medium">
        <color auto="1"/>
      </right>
      <top/>
      <bottom style="dashDotDot">
        <color auto="1"/>
      </bottom>
      <diagonal/>
    </border>
    <border>
      <left style="medium">
        <color auto="1"/>
      </left>
      <right style="dashDotDot">
        <color auto="1"/>
      </right>
      <top style="dashDotDot">
        <color auto="1"/>
      </top>
      <bottom/>
      <diagonal/>
    </border>
    <border>
      <left style="medium">
        <color auto="1"/>
      </left>
      <right/>
      <top style="dashDotDot">
        <color auto="1"/>
      </top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/>
      <diagonal/>
    </border>
    <border>
      <left style="dashDotDot">
        <color auto="1"/>
      </left>
      <right style="medium">
        <color auto="1"/>
      </right>
      <top style="dashDotDot">
        <color auto="1"/>
      </top>
      <bottom/>
      <diagonal/>
    </border>
    <border diagonalUp="1" diagonalDown="1">
      <left style="medium">
        <color auto="1"/>
      </left>
      <right style="dashDotDot">
        <color auto="1"/>
      </right>
      <top style="dashDotDot">
        <color auto="1"/>
      </top>
      <bottom/>
      <diagonal style="dashDotDot">
        <color auto="1"/>
      </diagonal>
    </border>
    <border diagonalUp="1" diagonalDown="1">
      <left style="dashDotDot">
        <color auto="1"/>
      </left>
      <right style="dashDotDot">
        <color auto="1"/>
      </right>
      <top style="dashDotDot">
        <color auto="1"/>
      </top>
      <bottom/>
      <diagonal style="dashDotDot">
        <color auto="1"/>
      </diagonal>
    </border>
    <border diagonalUp="1" diagonalDown="1">
      <left style="dashDotDot">
        <color auto="1"/>
      </left>
      <right style="medium">
        <color auto="1"/>
      </right>
      <top style="dashDotDot">
        <color auto="1"/>
      </top>
      <bottom/>
      <diagonal style="dashDotDot">
        <color auto="1"/>
      </diagonal>
    </border>
    <border>
      <left style="medium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 diagonalUp="1" diagonalDown="1">
      <left style="medium">
        <color auto="1"/>
      </left>
      <right style="dashDotDot">
        <color auto="1"/>
      </right>
      <top/>
      <bottom/>
      <diagonal style="dashDotDot">
        <color auto="1"/>
      </diagonal>
    </border>
    <border diagonalUp="1" diagonalDown="1">
      <left style="dashDotDot">
        <color auto="1"/>
      </left>
      <right style="dashDotDot">
        <color auto="1"/>
      </right>
      <top/>
      <bottom/>
      <diagonal style="dashDotDot">
        <color auto="1"/>
      </diagonal>
    </border>
    <border diagonalUp="1" diagonalDown="1">
      <left style="dashDotDot">
        <color auto="1"/>
      </left>
      <right style="medium">
        <color auto="1"/>
      </right>
      <top/>
      <bottom/>
      <diagonal style="dashDotDot">
        <color auto="1"/>
      </diagonal>
    </border>
    <border diagonalUp="1" diagonalDown="1">
      <left style="medium">
        <color auto="1"/>
      </left>
      <right style="dashDotDot">
        <color auto="1"/>
      </right>
      <top/>
      <bottom style="dashDotDot">
        <color auto="1"/>
      </bottom>
      <diagonal style="dashDotDot">
        <color auto="1"/>
      </diagonal>
    </border>
    <border diagonalUp="1" diagonalDown="1">
      <left style="dashDotDot">
        <color auto="1"/>
      </left>
      <right style="dashDotDot">
        <color auto="1"/>
      </right>
      <top/>
      <bottom style="dashDotDot">
        <color auto="1"/>
      </bottom>
      <diagonal style="dashDotDot">
        <color auto="1"/>
      </diagonal>
    </border>
    <border diagonalUp="1" diagonalDown="1">
      <left style="dashDotDot">
        <color auto="1"/>
      </left>
      <right style="medium">
        <color auto="1"/>
      </right>
      <top/>
      <bottom style="dashDotDot">
        <color auto="1"/>
      </bottom>
      <diagonal style="dashDotDot">
        <color auto="1"/>
      </diagonal>
    </border>
    <border>
      <left style="medium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 style="medium">
        <color auto="1"/>
      </left>
      <right style="medium">
        <color auto="1"/>
      </right>
      <top style="dashDotDot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ashDotDot">
        <color auto="1"/>
      </bottom>
      <diagonal/>
    </border>
    <border>
      <left style="medium">
        <color auto="1"/>
      </left>
      <right style="dashDotDot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ashDotDot">
        <color auto="1"/>
      </left>
      <right style="dashDotDot">
        <color auto="1"/>
      </right>
      <top/>
      <bottom style="medium">
        <color auto="1"/>
      </bottom>
      <diagonal/>
    </border>
    <border>
      <left style="dashDotDot">
        <color auto="1"/>
      </left>
      <right style="medium">
        <color auto="1"/>
      </right>
      <top/>
      <bottom style="medium">
        <color auto="1"/>
      </bottom>
      <diagonal/>
    </border>
    <border diagonalUp="1" diagonalDown="1">
      <left style="dashDotDot">
        <color auto="1"/>
      </left>
      <right/>
      <top/>
      <bottom style="dashDotDot">
        <color auto="1"/>
      </bottom>
      <diagonal style="dashDotDot">
        <color auto="1"/>
      </diagonal>
    </border>
    <border diagonalUp="1" diagonalDown="1">
      <left/>
      <right/>
      <top/>
      <bottom style="dashDotDot">
        <color auto="1"/>
      </bottom>
      <diagonal style="dashDotDot">
        <color auto="1"/>
      </diagonal>
    </border>
    <border>
      <left/>
      <right/>
      <top/>
      <bottom style="medium">
        <color indexed="64"/>
      </bottom>
      <diagonal/>
    </border>
    <border>
      <left style="dashDotDot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 style="dashDotDot">
        <color auto="1"/>
      </right>
      <top/>
      <bottom style="dashDot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dashDotDot">
        <color auto="1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7">
    <xf numFmtId="0" fontId="0" fillId="0" borderId="0" xfId="0" applyAlignment="1">
      <alignment horizontal="left"/>
    </xf>
    <xf numFmtId="0" fontId="4" fillId="0" borderId="0" xfId="3" applyFont="1"/>
    <xf numFmtId="0" fontId="5" fillId="0" borderId="0" xfId="3" applyFont="1" applyAlignment="1">
      <alignment horizontal="center"/>
    </xf>
    <xf numFmtId="0" fontId="5" fillId="0" borderId="0" xfId="3" applyFont="1" applyAlignment="1">
      <alignment horizontal="center" shrinkToFit="1"/>
    </xf>
    <xf numFmtId="0" fontId="6" fillId="0" borderId="0" xfId="3" applyFont="1"/>
    <xf numFmtId="49" fontId="7" fillId="0" borderId="0" xfId="3" applyNumberFormat="1" applyFont="1" applyAlignment="1">
      <alignment horizontal="center" vertical="center"/>
    </xf>
    <xf numFmtId="49" fontId="8" fillId="0" borderId="0" xfId="3" applyNumberFormat="1" applyFont="1" applyAlignment="1">
      <alignment horizontal="center" vertical="center"/>
    </xf>
    <xf numFmtId="49" fontId="8" fillId="0" borderId="1" xfId="3" applyNumberFormat="1" applyFont="1" applyBorder="1" applyAlignment="1">
      <alignment horizontal="center" vertical="center" shrinkToFit="1"/>
    </xf>
    <xf numFmtId="49" fontId="8" fillId="0" borderId="2" xfId="3" applyNumberFormat="1" applyFont="1" applyBorder="1" applyAlignment="1">
      <alignment horizontal="center" vertical="center" shrinkToFit="1"/>
    </xf>
    <xf numFmtId="49" fontId="9" fillId="0" borderId="0" xfId="3" applyNumberFormat="1" applyFont="1" applyAlignment="1">
      <alignment horizontal="center" vertical="center"/>
    </xf>
    <xf numFmtId="0" fontId="8" fillId="3" borderId="1" xfId="3" applyFont="1" applyFill="1" applyBorder="1" applyAlignment="1">
      <alignment horizontal="center" vertical="center" shrinkToFit="1"/>
    </xf>
    <xf numFmtId="0" fontId="8" fillId="0" borderId="2" xfId="3" applyFont="1" applyBorder="1" applyAlignment="1">
      <alignment horizontal="center" vertical="center" shrinkToFit="1"/>
    </xf>
    <xf numFmtId="0" fontId="8" fillId="3" borderId="2" xfId="3" applyFont="1" applyFill="1" applyBorder="1" applyAlignment="1">
      <alignment horizontal="center" vertical="center" shrinkToFit="1"/>
    </xf>
    <xf numFmtId="0" fontId="9" fillId="0" borderId="0" xfId="3" applyFont="1" applyAlignment="1">
      <alignment vertical="center"/>
    </xf>
    <xf numFmtId="0" fontId="8" fillId="3" borderId="7" xfId="3" applyFont="1" applyFill="1" applyBorder="1" applyAlignment="1">
      <alignment horizontal="center" vertical="center" shrinkToFit="1"/>
    </xf>
    <xf numFmtId="0" fontId="8" fillId="0" borderId="9" xfId="3" applyFont="1" applyBorder="1" applyAlignment="1">
      <alignment horizontal="center" vertical="center" shrinkToFit="1"/>
    </xf>
    <xf numFmtId="0" fontId="8" fillId="3" borderId="9" xfId="3" applyFont="1" applyFill="1" applyBorder="1" applyAlignment="1">
      <alignment horizontal="center" vertical="center" shrinkToFit="1"/>
    </xf>
    <xf numFmtId="0" fontId="8" fillId="0" borderId="10" xfId="3" applyFont="1" applyBorder="1" applyAlignment="1">
      <alignment horizontal="center" vertical="center" shrinkToFit="1"/>
    </xf>
    <xf numFmtId="43" fontId="10" fillId="3" borderId="14" xfId="4" applyFont="1" applyFill="1" applyBorder="1" applyAlignment="1">
      <alignment horizontal="center" vertical="center" shrinkToFit="1"/>
    </xf>
    <xf numFmtId="43" fontId="5" fillId="0" borderId="16" xfId="4" applyFont="1" applyFill="1" applyBorder="1" applyAlignment="1">
      <alignment horizontal="center" vertical="center" shrinkToFit="1"/>
    </xf>
    <xf numFmtId="43" fontId="5" fillId="3" borderId="16" xfId="4" applyFont="1" applyFill="1" applyBorder="1" applyAlignment="1">
      <alignment horizontal="center" vertical="center" shrinkToFit="1"/>
    </xf>
    <xf numFmtId="0" fontId="5" fillId="0" borderId="16" xfId="3" applyFont="1" applyBorder="1" applyAlignment="1">
      <alignment horizontal="center" vertical="center" shrinkToFit="1"/>
    </xf>
    <xf numFmtId="0" fontId="5" fillId="0" borderId="17" xfId="3" applyFont="1" applyBorder="1" applyAlignment="1">
      <alignment horizontal="center" vertical="center" shrinkToFit="1"/>
    </xf>
    <xf numFmtId="0" fontId="4" fillId="0" borderId="0" xfId="3" applyFont="1" applyAlignment="1">
      <alignment vertical="center"/>
    </xf>
    <xf numFmtId="0" fontId="8" fillId="3" borderId="18" xfId="3" applyFont="1" applyFill="1" applyBorder="1" applyAlignment="1">
      <alignment horizontal="center" vertical="center" shrinkToFit="1"/>
    </xf>
    <xf numFmtId="0" fontId="8" fillId="0" borderId="20" xfId="3" applyFont="1" applyBorder="1" applyAlignment="1">
      <alignment horizontal="center" vertical="center" shrinkToFit="1"/>
    </xf>
    <xf numFmtId="0" fontId="8" fillId="3" borderId="20" xfId="3" applyFont="1" applyFill="1" applyBorder="1" applyAlignment="1">
      <alignment horizontal="center" vertical="center" shrinkToFit="1"/>
    </xf>
    <xf numFmtId="0" fontId="8" fillId="0" borderId="21" xfId="3" applyFont="1" applyBorder="1" applyAlignment="1">
      <alignment horizontal="center" vertical="center" shrinkToFit="1"/>
    </xf>
    <xf numFmtId="43" fontId="5" fillId="3" borderId="14" xfId="4" applyFont="1" applyFill="1" applyBorder="1" applyAlignment="1">
      <alignment horizontal="center" vertical="center" shrinkToFit="1"/>
    </xf>
    <xf numFmtId="0" fontId="8" fillId="0" borderId="18" xfId="3" applyFont="1" applyBorder="1" applyAlignment="1">
      <alignment horizontal="center" vertical="center" shrinkToFit="1"/>
    </xf>
    <xf numFmtId="0" fontId="8" fillId="0" borderId="7" xfId="3" applyFont="1" applyBorder="1" applyAlignment="1">
      <alignment horizontal="center" vertical="center" shrinkToFit="1"/>
    </xf>
    <xf numFmtId="43" fontId="5" fillId="0" borderId="14" xfId="4" applyFont="1" applyFill="1" applyBorder="1" applyAlignment="1">
      <alignment horizontal="center" vertical="center" shrinkToFit="1"/>
    </xf>
    <xf numFmtId="43" fontId="5" fillId="0" borderId="7" xfId="4" applyFont="1" applyFill="1" applyBorder="1" applyAlignment="1">
      <alignment horizontal="center" vertical="center" shrinkToFit="1"/>
    </xf>
    <xf numFmtId="43" fontId="5" fillId="0" borderId="9" xfId="4" applyFont="1" applyFill="1" applyBorder="1" applyAlignment="1">
      <alignment horizontal="center" vertical="center" shrinkToFit="1"/>
    </xf>
    <xf numFmtId="43" fontId="5" fillId="3" borderId="9" xfId="4" applyFont="1" applyFill="1" applyBorder="1" applyAlignment="1">
      <alignment horizontal="center" vertical="center" shrinkToFit="1"/>
    </xf>
    <xf numFmtId="0" fontId="5" fillId="0" borderId="9" xfId="3" applyFont="1" applyBorder="1" applyAlignment="1">
      <alignment horizontal="center" vertical="center" shrinkToFit="1"/>
    </xf>
    <xf numFmtId="0" fontId="5" fillId="0" borderId="10" xfId="3" applyFont="1" applyBorder="1" applyAlignment="1">
      <alignment horizontal="center" vertical="center" shrinkToFit="1"/>
    </xf>
    <xf numFmtId="0" fontId="8" fillId="4" borderId="20" xfId="3" applyFont="1" applyFill="1" applyBorder="1" applyAlignment="1">
      <alignment horizontal="center" vertical="center" shrinkToFit="1"/>
    </xf>
    <xf numFmtId="0" fontId="8" fillId="4" borderId="9" xfId="3" applyFont="1" applyFill="1" applyBorder="1" applyAlignment="1">
      <alignment horizontal="center" vertical="center" shrinkToFit="1"/>
    </xf>
    <xf numFmtId="43" fontId="5" fillId="4" borderId="16" xfId="4" applyFont="1" applyFill="1" applyBorder="1" applyAlignment="1">
      <alignment horizontal="center" vertical="center" shrinkToFit="1"/>
    </xf>
    <xf numFmtId="0" fontId="8" fillId="0" borderId="22" xfId="3" applyFont="1" applyBorder="1" applyAlignment="1">
      <alignment horizontal="center" vertical="center" shrinkToFit="1"/>
    </xf>
    <xf numFmtId="0" fontId="8" fillId="0" borderId="23" xfId="3" applyFont="1" applyBorder="1" applyAlignment="1">
      <alignment horizontal="center" vertical="center" shrinkToFit="1"/>
    </xf>
    <xf numFmtId="0" fontId="8" fillId="0" borderId="24" xfId="3" applyFont="1" applyBorder="1" applyAlignment="1">
      <alignment horizontal="center" vertical="center" shrinkToFit="1"/>
    </xf>
    <xf numFmtId="0" fontId="8" fillId="0" borderId="27" xfId="3" applyFont="1" applyBorder="1" applyAlignment="1">
      <alignment horizontal="center" vertical="center" shrinkToFit="1"/>
    </xf>
    <xf numFmtId="0" fontId="8" fillId="0" borderId="28" xfId="3" applyFont="1" applyBorder="1" applyAlignment="1">
      <alignment horizontal="center" vertical="center" shrinkToFit="1"/>
    </xf>
    <xf numFmtId="0" fontId="8" fillId="0" borderId="29" xfId="3" applyFont="1" applyBorder="1" applyAlignment="1">
      <alignment horizontal="center" vertical="center" shrinkToFit="1"/>
    </xf>
    <xf numFmtId="0" fontId="5" fillId="0" borderId="30" xfId="3" applyFont="1" applyBorder="1" applyAlignment="1">
      <alignment horizontal="center" vertical="center" shrinkToFit="1"/>
    </xf>
    <xf numFmtId="0" fontId="5" fillId="0" borderId="31" xfId="3" applyFont="1" applyBorder="1" applyAlignment="1">
      <alignment horizontal="center" vertical="center" shrinkToFit="1"/>
    </xf>
    <xf numFmtId="0" fontId="5" fillId="0" borderId="32" xfId="3" applyFont="1" applyBorder="1" applyAlignment="1">
      <alignment horizontal="center" vertical="center" shrinkToFit="1"/>
    </xf>
    <xf numFmtId="0" fontId="11" fillId="3" borderId="20" xfId="3" applyFont="1" applyFill="1" applyBorder="1" applyAlignment="1">
      <alignment horizontal="center" vertical="center" shrinkToFit="1"/>
    </xf>
    <xf numFmtId="0" fontId="11" fillId="3" borderId="9" xfId="3" applyFont="1" applyFill="1" applyBorder="1" applyAlignment="1">
      <alignment horizontal="center" vertical="center" shrinkToFit="1"/>
    </xf>
    <xf numFmtId="43" fontId="12" fillId="3" borderId="16" xfId="4" applyFont="1" applyFill="1" applyBorder="1" applyAlignment="1">
      <alignment horizontal="center" vertical="center" shrinkToFit="1"/>
    </xf>
    <xf numFmtId="0" fontId="8" fillId="3" borderId="10" xfId="3" applyFont="1" applyFill="1" applyBorder="1" applyAlignment="1">
      <alignment horizontal="center" vertical="center" shrinkToFit="1"/>
    </xf>
    <xf numFmtId="43" fontId="5" fillId="3" borderId="17" xfId="4" applyFont="1" applyFill="1" applyBorder="1" applyAlignment="1">
      <alignment horizontal="center" vertical="center" shrinkToFit="1"/>
    </xf>
    <xf numFmtId="0" fontId="8" fillId="3" borderId="21" xfId="3" applyFont="1" applyFill="1" applyBorder="1" applyAlignment="1">
      <alignment horizontal="center" vertical="center" shrinkToFit="1"/>
    </xf>
    <xf numFmtId="43" fontId="5" fillId="0" borderId="17" xfId="4" applyFont="1" applyFill="1" applyBorder="1" applyAlignment="1">
      <alignment horizontal="center" vertical="center" shrinkToFit="1"/>
    </xf>
    <xf numFmtId="43" fontId="5" fillId="0" borderId="40" xfId="4" applyFont="1" applyFill="1" applyBorder="1" applyAlignment="1">
      <alignment horizontal="center" vertical="center" shrinkToFit="1"/>
    </xf>
    <xf numFmtId="0" fontId="5" fillId="0" borderId="41" xfId="3" applyFont="1" applyBorder="1" applyAlignment="1">
      <alignment horizontal="center" vertical="center" shrinkToFit="1"/>
    </xf>
    <xf numFmtId="0" fontId="5" fillId="0" borderId="0" xfId="3" applyFont="1" applyAlignment="1">
      <alignment horizontal="center" vertical="center"/>
    </xf>
    <xf numFmtId="0" fontId="5" fillId="5" borderId="42" xfId="3" applyFont="1" applyFill="1" applyBorder="1" applyAlignment="1">
      <alignment horizontal="center" shrinkToFit="1"/>
    </xf>
    <xf numFmtId="0" fontId="5" fillId="5" borderId="43" xfId="3" applyFont="1" applyFill="1" applyBorder="1" applyAlignment="1">
      <alignment horizontal="center" shrinkToFit="1"/>
    </xf>
    <xf numFmtId="0" fontId="8" fillId="0" borderId="0" xfId="3" applyFont="1" applyAlignment="1">
      <alignment horizontal="center" shrinkToFit="1"/>
    </xf>
    <xf numFmtId="0" fontId="8" fillId="0" borderId="9" xfId="3" applyFont="1" applyFill="1" applyBorder="1" applyAlignment="1">
      <alignment horizontal="center" vertical="center" shrinkToFit="1"/>
    </xf>
    <xf numFmtId="0" fontId="8" fillId="0" borderId="20" xfId="3" applyFont="1" applyFill="1" applyBorder="1" applyAlignment="1">
      <alignment horizontal="center" vertical="center" shrinkToFit="1"/>
    </xf>
    <xf numFmtId="0" fontId="8" fillId="6" borderId="7" xfId="3" applyFont="1" applyFill="1" applyBorder="1" applyAlignment="1">
      <alignment horizontal="center" vertical="center" shrinkToFit="1"/>
    </xf>
    <xf numFmtId="0" fontId="8" fillId="6" borderId="9" xfId="3" applyFont="1" applyFill="1" applyBorder="1" applyAlignment="1">
      <alignment horizontal="center" vertical="center" shrinkToFit="1"/>
    </xf>
    <xf numFmtId="43" fontId="5" fillId="6" borderId="38" xfId="4" applyFont="1" applyFill="1" applyBorder="1" applyAlignment="1">
      <alignment horizontal="center" vertical="center" shrinkToFit="1"/>
    </xf>
    <xf numFmtId="0" fontId="8" fillId="0" borderId="6" xfId="3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34" xfId="3" applyFont="1" applyBorder="1" applyAlignment="1">
      <alignment horizontal="center" vertical="center"/>
    </xf>
    <xf numFmtId="0" fontId="8" fillId="6" borderId="20" xfId="3" applyFont="1" applyFill="1" applyBorder="1" applyAlignment="1">
      <alignment horizontal="center" vertical="center" shrinkToFit="1"/>
    </xf>
    <xf numFmtId="0" fontId="8" fillId="0" borderId="48" xfId="3" applyFont="1" applyBorder="1" applyAlignment="1">
      <alignment horizontal="center" vertical="center"/>
    </xf>
    <xf numFmtId="49" fontId="8" fillId="0" borderId="45" xfId="3" applyNumberFormat="1" applyFont="1" applyBorder="1" applyAlignment="1">
      <alignment horizontal="center" vertical="center"/>
    </xf>
    <xf numFmtId="49" fontId="8" fillId="2" borderId="49" xfId="3" applyNumberFormat="1" applyFont="1" applyFill="1" applyBorder="1" applyAlignment="1">
      <alignment horizontal="center" vertical="center"/>
    </xf>
    <xf numFmtId="49" fontId="8" fillId="3" borderId="49" xfId="3" applyNumberFormat="1" applyFont="1" applyFill="1" applyBorder="1" applyAlignment="1">
      <alignment horizontal="center" vertical="center"/>
    </xf>
    <xf numFmtId="49" fontId="8" fillId="6" borderId="49" xfId="3" applyNumberFormat="1" applyFont="1" applyFill="1" applyBorder="1" applyAlignment="1">
      <alignment horizontal="center" vertical="center"/>
    </xf>
    <xf numFmtId="0" fontId="13" fillId="3" borderId="20" xfId="3" applyFont="1" applyFill="1" applyBorder="1" applyAlignment="1">
      <alignment horizontal="center" vertical="center" shrinkToFit="1"/>
    </xf>
    <xf numFmtId="0" fontId="13" fillId="3" borderId="9" xfId="3" applyFont="1" applyFill="1" applyBorder="1" applyAlignment="1">
      <alignment horizontal="center" vertical="center" shrinkToFit="1"/>
    </xf>
    <xf numFmtId="43" fontId="14" fillId="3" borderId="16" xfId="4" applyFont="1" applyFill="1" applyBorder="1" applyAlignment="1">
      <alignment horizontal="center" vertical="center" shrinkToFit="1"/>
    </xf>
    <xf numFmtId="0" fontId="13" fillId="3" borderId="7" xfId="3" applyFont="1" applyFill="1" applyBorder="1" applyAlignment="1">
      <alignment horizontal="center" vertical="center" shrinkToFit="1"/>
    </xf>
    <xf numFmtId="43" fontId="14" fillId="3" borderId="14" xfId="4" applyFont="1" applyFill="1" applyBorder="1" applyAlignment="1">
      <alignment horizontal="center" vertical="center" shrinkToFit="1"/>
    </xf>
    <xf numFmtId="0" fontId="13" fillId="3" borderId="10" xfId="3" applyFont="1" applyFill="1" applyBorder="1" applyAlignment="1">
      <alignment horizontal="center" vertical="center" shrinkToFit="1"/>
    </xf>
    <xf numFmtId="43" fontId="14" fillId="3" borderId="17" xfId="4" applyFont="1" applyFill="1" applyBorder="1" applyAlignment="1">
      <alignment horizontal="center" vertical="center" shrinkToFit="1"/>
    </xf>
    <xf numFmtId="0" fontId="13" fillId="3" borderId="18" xfId="3" applyFont="1" applyFill="1" applyBorder="1" applyAlignment="1">
      <alignment horizontal="center" vertical="center" shrinkToFit="1"/>
    </xf>
    <xf numFmtId="0" fontId="15" fillId="0" borderId="0" xfId="3" applyFont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0" fontId="15" fillId="3" borderId="0" xfId="3" applyFont="1" applyFill="1" applyAlignment="1">
      <alignment horizontal="center" vertical="center"/>
    </xf>
    <xf numFmtId="0" fontId="15" fillId="6" borderId="0" xfId="3" applyFont="1" applyFill="1" applyAlignment="1">
      <alignment horizontal="center" vertical="center"/>
    </xf>
    <xf numFmtId="10" fontId="15" fillId="0" borderId="44" xfId="2" applyNumberFormat="1" applyFont="1" applyFill="1" applyBorder="1" applyAlignment="1">
      <alignment horizontal="center" vertical="center" wrapText="1"/>
    </xf>
    <xf numFmtId="10" fontId="15" fillId="2" borderId="44" xfId="2" applyNumberFormat="1" applyFont="1" applyFill="1" applyBorder="1" applyAlignment="1">
      <alignment horizontal="center" vertical="center" wrapText="1"/>
    </xf>
    <xf numFmtId="10" fontId="15" fillId="3" borderId="44" xfId="2" applyNumberFormat="1" applyFont="1" applyFill="1" applyBorder="1" applyAlignment="1">
      <alignment horizontal="center" vertical="center" wrapText="1"/>
    </xf>
    <xf numFmtId="10" fontId="15" fillId="6" borderId="44" xfId="2" applyNumberFormat="1" applyFont="1" applyFill="1" applyBorder="1" applyAlignment="1">
      <alignment horizontal="center" vertical="center" wrapText="1"/>
    </xf>
    <xf numFmtId="0" fontId="8" fillId="7" borderId="20" xfId="3" applyFont="1" applyFill="1" applyBorder="1" applyAlignment="1">
      <alignment horizontal="center" vertical="center" shrinkToFit="1"/>
    </xf>
    <xf numFmtId="0" fontId="8" fillId="7" borderId="9" xfId="3" applyFont="1" applyFill="1" applyBorder="1" applyAlignment="1">
      <alignment horizontal="center" vertical="center" shrinkToFit="1"/>
    </xf>
    <xf numFmtId="43" fontId="5" fillId="7" borderId="16" xfId="4" applyFont="1" applyFill="1" applyBorder="1" applyAlignment="1">
      <alignment horizontal="center" vertical="center" shrinkToFit="1"/>
    </xf>
    <xf numFmtId="0" fontId="16" fillId="0" borderId="0" xfId="0" applyNumberFormat="1" applyFont="1" applyFill="1" applyBorder="1" applyAlignment="1" applyProtection="1">
      <alignment vertical="top" readingOrder="1"/>
    </xf>
    <xf numFmtId="0" fontId="0" fillId="0" borderId="0" xfId="0"/>
    <xf numFmtId="0" fontId="17" fillId="0" borderId="0" xfId="0" applyNumberFormat="1" applyFont="1" applyFill="1" applyBorder="1" applyAlignment="1" applyProtection="1">
      <alignment vertical="top" readingOrder="1"/>
    </xf>
    <xf numFmtId="14" fontId="18" fillId="0" borderId="0" xfId="0" applyNumberFormat="1" applyFont="1" applyFill="1" applyBorder="1" applyAlignment="1" applyProtection="1">
      <alignment horizontal="left" vertical="top" readingOrder="1"/>
    </xf>
    <xf numFmtId="0" fontId="18" fillId="0" borderId="0" xfId="0" applyNumberFormat="1" applyFont="1" applyFill="1" applyBorder="1" applyAlignment="1" applyProtection="1">
      <alignment vertical="top" readingOrder="1"/>
    </xf>
    <xf numFmtId="0" fontId="18" fillId="0" borderId="0" xfId="0" applyNumberFormat="1" applyFont="1" applyFill="1" applyBorder="1" applyAlignment="1" applyProtection="1">
      <alignment horizontal="right" vertical="top" readingOrder="1"/>
    </xf>
    <xf numFmtId="0" fontId="18" fillId="0" borderId="50" xfId="0" applyNumberFormat="1" applyFont="1" applyFill="1" applyBorder="1" applyAlignment="1" applyProtection="1">
      <alignment vertical="top" readingOrder="1"/>
    </xf>
    <xf numFmtId="0" fontId="0" fillId="0" borderId="50" xfId="0" applyNumberFormat="1" applyFont="1" applyFill="1" applyBorder="1" applyAlignment="1" applyProtection="1">
      <alignment vertical="top"/>
    </xf>
    <xf numFmtId="14" fontId="18" fillId="0" borderId="50" xfId="0" applyNumberFormat="1" applyFont="1" applyFill="1" applyBorder="1" applyAlignment="1" applyProtection="1">
      <alignment horizontal="left" vertical="top" readingOrder="1"/>
    </xf>
    <xf numFmtId="14" fontId="18" fillId="0" borderId="50" xfId="0" applyNumberFormat="1" applyFont="1" applyFill="1" applyBorder="1" applyAlignment="1" applyProtection="1">
      <alignment horizontal="right" vertical="top" readingOrder="1"/>
    </xf>
    <xf numFmtId="21" fontId="18" fillId="0" borderId="50" xfId="0" applyNumberFormat="1" applyFont="1" applyFill="1" applyBorder="1" applyAlignment="1" applyProtection="1">
      <alignment horizontal="right" vertical="top" readingOrder="1"/>
    </xf>
    <xf numFmtId="0" fontId="18" fillId="0" borderId="51" xfId="0" applyNumberFormat="1" applyFont="1" applyFill="1" applyBorder="1" applyAlignment="1" applyProtection="1">
      <alignment horizontal="center" vertical="top" readingOrder="1"/>
    </xf>
    <xf numFmtId="0" fontId="18" fillId="0" borderId="51" xfId="0" applyNumberFormat="1" applyFont="1" applyFill="1" applyBorder="1" applyAlignment="1" applyProtection="1">
      <alignment vertical="top" readingOrder="1"/>
    </xf>
    <xf numFmtId="0" fontId="18" fillId="0" borderId="51" xfId="0" applyNumberFormat="1" applyFont="1" applyFill="1" applyBorder="1" applyAlignment="1" applyProtection="1">
      <alignment horizontal="center" vertical="top" wrapText="1" readingOrder="1"/>
    </xf>
    <xf numFmtId="0" fontId="16" fillId="0" borderId="0" xfId="0" applyNumberFormat="1" applyFont="1" applyFill="1" applyBorder="1" applyAlignment="1" applyProtection="1">
      <alignment horizontal="center" vertical="top" readingOrder="1"/>
    </xf>
    <xf numFmtId="0" fontId="16" fillId="0" borderId="0" xfId="0" applyNumberFormat="1" applyFont="1" applyFill="1" applyBorder="1" applyAlignment="1" applyProtection="1">
      <alignment horizontal="left" vertical="top" readingOrder="1"/>
    </xf>
    <xf numFmtId="43" fontId="16" fillId="0" borderId="0" xfId="1" applyFont="1" applyFill="1" applyBorder="1" applyAlignment="1" applyProtection="1">
      <alignment horizontal="right" vertical="top" readingOrder="1"/>
    </xf>
    <xf numFmtId="4" fontId="16" fillId="0" borderId="0" xfId="0" applyNumberFormat="1" applyFont="1" applyFill="1" applyBorder="1" applyAlignment="1" applyProtection="1">
      <alignment horizontal="right" vertical="top" readingOrder="1"/>
    </xf>
    <xf numFmtId="4" fontId="16" fillId="0" borderId="0" xfId="0" applyNumberFormat="1" applyFont="1" applyFill="1" applyBorder="1" applyAlignment="1" applyProtection="1">
      <alignment horizontal="center" vertical="top" readingOrder="1"/>
    </xf>
    <xf numFmtId="0" fontId="16" fillId="0" borderId="50" xfId="0" applyNumberFormat="1" applyFont="1" applyFill="1" applyBorder="1" applyAlignment="1" applyProtection="1">
      <alignment horizontal="center" vertical="top" readingOrder="1"/>
    </xf>
    <xf numFmtId="0" fontId="16" fillId="0" borderId="50" xfId="0" applyNumberFormat="1" applyFont="1" applyFill="1" applyBorder="1" applyAlignment="1" applyProtection="1">
      <alignment horizontal="left" vertical="top" readingOrder="1"/>
    </xf>
    <xf numFmtId="43" fontId="16" fillId="0" borderId="50" xfId="1" applyFont="1" applyFill="1" applyBorder="1" applyAlignment="1" applyProtection="1">
      <alignment horizontal="right" vertical="top" readingOrder="1"/>
    </xf>
    <xf numFmtId="4" fontId="16" fillId="0" borderId="50" xfId="0" applyNumberFormat="1" applyFont="1" applyFill="1" applyBorder="1" applyAlignment="1" applyProtection="1">
      <alignment horizontal="right" vertical="top" readingOrder="1"/>
    </xf>
    <xf numFmtId="4" fontId="16" fillId="0" borderId="50" xfId="0" applyNumberFormat="1" applyFont="1" applyFill="1" applyBorder="1" applyAlignment="1" applyProtection="1">
      <alignment horizontal="center" vertical="top" readingOrder="1"/>
    </xf>
    <xf numFmtId="0" fontId="18" fillId="0" borderId="51" xfId="0" applyNumberFormat="1" applyFont="1" applyFill="1" applyBorder="1" applyAlignment="1" applyProtection="1">
      <alignment vertical="center" readingOrder="1"/>
    </xf>
    <xf numFmtId="4" fontId="18" fillId="0" borderId="51" xfId="0" applyNumberFormat="1" applyFont="1" applyFill="1" applyBorder="1" applyAlignment="1" applyProtection="1">
      <alignment vertical="top" readingOrder="1"/>
    </xf>
    <xf numFmtId="0" fontId="0" fillId="0" borderId="51" xfId="0" applyNumberFormat="1" applyFont="1" applyFill="1" applyBorder="1" applyAlignment="1" applyProtection="1">
      <alignment vertical="top"/>
    </xf>
    <xf numFmtId="4" fontId="19" fillId="0" borderId="51" xfId="0" applyNumberFormat="1" applyFont="1" applyFill="1" applyBorder="1" applyAlignment="1" applyProtection="1">
      <alignment vertical="top" readingOrder="1"/>
    </xf>
    <xf numFmtId="4" fontId="18" fillId="0" borderId="51" xfId="0" applyNumberFormat="1" applyFont="1" applyFill="1" applyBorder="1" applyAlignment="1" applyProtection="1">
      <alignment horizontal="right" vertical="top" readingOrder="1"/>
    </xf>
    <xf numFmtId="0" fontId="0" fillId="0" borderId="52" xfId="0" applyNumberFormat="1" applyFont="1" applyFill="1" applyBorder="1" applyAlignment="1" applyProtection="1">
      <alignment vertical="top"/>
    </xf>
    <xf numFmtId="0" fontId="8" fillId="0" borderId="13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0" fontId="8" fillId="0" borderId="14" xfId="3" applyFont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14" fontId="8" fillId="0" borderId="4" xfId="3" applyNumberFormat="1" applyFont="1" applyBorder="1" applyAlignment="1">
      <alignment horizontal="center" vertical="center" shrinkToFit="1"/>
    </xf>
    <xf numFmtId="14" fontId="8" fillId="0" borderId="10" xfId="3" applyNumberFormat="1" applyFont="1" applyBorder="1" applyAlignment="1">
      <alignment horizontal="center" vertical="center" shrinkToFit="1"/>
    </xf>
    <xf numFmtId="0" fontId="8" fillId="0" borderId="46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/>
    </xf>
    <xf numFmtId="0" fontId="8" fillId="0" borderId="48" xfId="3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19" xfId="3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8" fillId="0" borderId="6" xfId="3" applyFont="1" applyBorder="1" applyAlignment="1">
      <alignment horizontal="center" vertical="center"/>
    </xf>
    <xf numFmtId="0" fontId="8" fillId="0" borderId="25" xfId="3" applyFont="1" applyBorder="1" applyAlignment="1">
      <alignment horizontal="center" vertical="center"/>
    </xf>
    <xf numFmtId="0" fontId="8" fillId="0" borderId="26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33" xfId="3" applyFont="1" applyBorder="1" applyAlignment="1">
      <alignment horizontal="center" vertical="center"/>
    </xf>
    <xf numFmtId="0" fontId="8" fillId="0" borderId="34" xfId="3" applyFont="1" applyBorder="1" applyAlignment="1">
      <alignment horizontal="center" vertical="center"/>
    </xf>
    <xf numFmtId="0" fontId="8" fillId="0" borderId="35" xfId="3" applyFont="1" applyBorder="1" applyAlignment="1">
      <alignment horizontal="center" vertical="center"/>
    </xf>
    <xf numFmtId="0" fontId="8" fillId="0" borderId="36" xfId="3" applyFont="1" applyBorder="1" applyAlignment="1">
      <alignment horizontal="center" vertical="center"/>
    </xf>
    <xf numFmtId="0" fontId="8" fillId="0" borderId="37" xfId="3" applyFont="1" applyBorder="1" applyAlignment="1">
      <alignment horizontal="center" vertical="center"/>
    </xf>
    <xf numFmtId="0" fontId="8" fillId="0" borderId="38" xfId="3" applyFont="1" applyBorder="1" applyAlignment="1">
      <alignment horizontal="center" vertical="center"/>
    </xf>
    <xf numFmtId="0" fontId="8" fillId="0" borderId="39" xfId="3" applyFont="1" applyBorder="1" applyAlignment="1">
      <alignment horizontal="center" vertical="center"/>
    </xf>
    <xf numFmtId="0" fontId="8" fillId="6" borderId="53" xfId="3" applyFont="1" applyFill="1" applyBorder="1" applyAlignment="1">
      <alignment horizontal="center" vertical="center" shrinkToFit="1"/>
    </xf>
  </cellXfs>
  <cellStyles count="5">
    <cellStyle name="Comma" xfId="1" builtinId="3"/>
    <cellStyle name="Comma 2" xfId="4"/>
    <cellStyle name="Normal" xfId="0" builtinId="0"/>
    <cellStyle name="Normal 50" xfId="3"/>
    <cellStyle name="Percent" xfId="2" builtinId="5"/>
  </cellStyles>
  <dxfs count="440"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ont>
        <b/>
        <i/>
        <color theme="2"/>
      </font>
      <fill>
        <patternFill>
          <bgColor theme="5"/>
        </patternFill>
      </fill>
    </dxf>
    <dxf>
      <fill>
        <patternFill patternType="solid">
          <bgColor theme="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ont>
        <b/>
        <i/>
        <color theme="2"/>
      </font>
      <fill>
        <patternFill>
          <bgColor theme="5"/>
        </patternFill>
      </fill>
    </dxf>
    <dxf>
      <fill>
        <patternFill patternType="solid">
          <bgColor theme="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ont>
        <b/>
        <i/>
        <color theme="2"/>
      </font>
      <fill>
        <patternFill>
          <bgColor theme="5"/>
        </patternFill>
      </fill>
    </dxf>
    <dxf>
      <fill>
        <patternFill patternType="solid">
          <bgColor theme="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ont>
        <b/>
        <i/>
        <color theme="2"/>
      </font>
      <fill>
        <patternFill>
          <bgColor theme="5"/>
        </patternFill>
      </fill>
    </dxf>
    <dxf>
      <fill>
        <patternFill patternType="solid">
          <bgColor theme="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</dxf>
    <dxf>
      <font>
        <b/>
        <i/>
        <color theme="2"/>
      </font>
      <fill>
        <patternFill>
          <bgColor theme="5"/>
        </patternFill>
      </fill>
    </dxf>
    <dxf>
      <fill>
        <patternFill patternType="solid">
          <bgColor theme="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59996337778862885"/>
        </patternFill>
      </fill>
    </dxf>
    <dxf>
      <font>
        <color theme="8" tint="-0.24994659260841701"/>
      </font>
    </dxf>
    <dxf>
      <font>
        <color theme="7"/>
      </font>
    </dxf>
    <dxf>
      <font>
        <color theme="0"/>
      </font>
    </dxf>
    <dxf>
      <font>
        <color theme="7"/>
      </font>
    </dxf>
    <dxf>
      <font>
        <color theme="0"/>
      </font>
      <fill>
        <patternFill>
          <bgColor theme="4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5"/>
  <sheetViews>
    <sheetView topLeftCell="D1" zoomScale="70" zoomScaleNormal="70" workbookViewId="0">
      <pane ySplit="1" topLeftCell="A2" activePane="bottomLeft" state="frozen"/>
      <selection pane="bottomLeft" activeCell="J16" sqref="J16"/>
    </sheetView>
  </sheetViews>
  <sheetFormatPr defaultRowHeight="13.2"/>
  <cols>
    <col min="1" max="1" width="5" style="98" customWidth="1"/>
    <col min="2" max="2" width="7.33203125" style="98" bestFit="1" customWidth="1"/>
    <col min="3" max="3" width="9" style="98" bestFit="1" customWidth="1"/>
    <col min="4" max="4" width="9" style="98" customWidth="1"/>
    <col min="5" max="5" width="11.6640625" style="98" bestFit="1" customWidth="1"/>
    <col min="6" max="6" width="13.77734375" style="98" bestFit="1" customWidth="1"/>
    <col min="7" max="7" width="12.109375" style="98" customWidth="1"/>
    <col min="8" max="8" width="7.77734375" style="98" customWidth="1"/>
    <col min="9" max="9" width="21.77734375" style="98" bestFit="1" customWidth="1"/>
    <col min="10" max="10" width="21.77734375" style="98" customWidth="1"/>
    <col min="11" max="11" width="5.77734375" style="98" bestFit="1" customWidth="1"/>
    <col min="12" max="12" width="5.33203125" style="98" customWidth="1"/>
    <col min="13" max="13" width="18.5546875" style="98" bestFit="1" customWidth="1"/>
    <col min="14" max="16" width="19.88671875" style="98" bestFit="1" customWidth="1"/>
    <col min="17" max="17" width="28.44140625" style="98" customWidth="1"/>
    <col min="18" max="16384" width="8.88671875" style="98"/>
  </cols>
  <sheetData>
    <row r="1" spans="1:18" ht="17.7" customHeight="1">
      <c r="A1" s="97" t="s">
        <v>0</v>
      </c>
      <c r="B1" s="97"/>
      <c r="C1" s="97"/>
      <c r="D1" s="97"/>
      <c r="E1" s="97"/>
      <c r="G1" s="99" t="s">
        <v>365</v>
      </c>
      <c r="H1" s="99"/>
      <c r="I1" s="99"/>
      <c r="J1" s="99"/>
      <c r="K1" s="99"/>
      <c r="L1" s="99"/>
      <c r="M1" s="99"/>
      <c r="P1" s="100" t="s">
        <v>366</v>
      </c>
      <c r="Q1" s="101" t="s">
        <v>1</v>
      </c>
    </row>
    <row r="2" spans="1:18" ht="16.95" customHeight="1">
      <c r="A2" s="101" t="s">
        <v>2</v>
      </c>
      <c r="B2" s="101"/>
      <c r="C2" s="101"/>
      <c r="D2" s="101"/>
      <c r="E2" s="101"/>
      <c r="G2" s="99"/>
      <c r="H2" s="99"/>
      <c r="I2" s="99"/>
      <c r="J2" s="99"/>
      <c r="K2" s="99"/>
      <c r="L2" s="99"/>
      <c r="M2" s="99"/>
      <c r="P2" s="100" t="s">
        <v>367</v>
      </c>
      <c r="Q2" s="102" t="s">
        <v>368</v>
      </c>
    </row>
    <row r="3" spans="1:18" ht="17.7" customHeight="1">
      <c r="A3" s="103" t="s">
        <v>3</v>
      </c>
      <c r="B3" s="103"/>
      <c r="C3" s="103"/>
      <c r="D3" s="103"/>
      <c r="E3" s="103"/>
      <c r="F3" s="104"/>
      <c r="G3" s="103" t="s">
        <v>369</v>
      </c>
      <c r="H3" s="103"/>
      <c r="I3" s="103"/>
      <c r="J3" s="103"/>
      <c r="K3" s="103"/>
      <c r="L3" s="103"/>
      <c r="M3" s="103"/>
      <c r="N3" s="104"/>
      <c r="O3" s="104"/>
      <c r="P3" s="105" t="s">
        <v>370</v>
      </c>
      <c r="Q3" s="106" t="s">
        <v>371</v>
      </c>
      <c r="R3" s="107"/>
    </row>
    <row r="4" spans="1:18" ht="34.5" customHeight="1">
      <c r="A4" s="108" t="s">
        <v>4</v>
      </c>
      <c r="B4" s="109" t="s">
        <v>5</v>
      </c>
      <c r="C4" s="110" t="s">
        <v>6</v>
      </c>
      <c r="D4" s="108" t="s">
        <v>7</v>
      </c>
      <c r="E4" s="110" t="s">
        <v>8</v>
      </c>
      <c r="F4" s="110" t="s">
        <v>9</v>
      </c>
      <c r="G4" s="110" t="s">
        <v>372</v>
      </c>
      <c r="H4" s="110" t="s">
        <v>10</v>
      </c>
      <c r="I4" s="108" t="s">
        <v>11</v>
      </c>
      <c r="J4" s="108" t="s">
        <v>534</v>
      </c>
      <c r="K4" s="110" t="s">
        <v>12</v>
      </c>
      <c r="L4" s="110" t="s">
        <v>373</v>
      </c>
      <c r="M4" s="110" t="s">
        <v>374</v>
      </c>
      <c r="N4" s="108" t="s">
        <v>13</v>
      </c>
      <c r="O4" s="108" t="s">
        <v>375</v>
      </c>
      <c r="P4" s="110" t="s">
        <v>376</v>
      </c>
      <c r="Q4" s="108" t="s">
        <v>377</v>
      </c>
    </row>
    <row r="5" spans="1:18" ht="16.95" customHeight="1">
      <c r="A5" s="111">
        <v>1</v>
      </c>
      <c r="B5" s="112">
        <v>401</v>
      </c>
      <c r="C5" s="112" t="s">
        <v>14</v>
      </c>
      <c r="D5" s="112" t="s">
        <v>15</v>
      </c>
      <c r="E5" s="112">
        <v>1728</v>
      </c>
      <c r="F5" s="113">
        <v>311981.7</v>
      </c>
      <c r="G5" s="114">
        <v>34.9</v>
      </c>
      <c r="H5" s="114">
        <v>34.97</v>
      </c>
      <c r="I5" s="115" t="s">
        <v>528</v>
      </c>
      <c r="J5" s="115" t="s">
        <v>530</v>
      </c>
      <c r="K5" s="115" t="s">
        <v>16</v>
      </c>
      <c r="L5" s="115" t="s">
        <v>378</v>
      </c>
      <c r="M5" s="114">
        <v>0</v>
      </c>
      <c r="N5" s="114">
        <v>10910000</v>
      </c>
      <c r="O5" s="114">
        <v>10910000</v>
      </c>
      <c r="P5" s="114">
        <v>0</v>
      </c>
    </row>
    <row r="6" spans="1:18" ht="17.7" customHeight="1">
      <c r="A6" s="111">
        <v>2</v>
      </c>
      <c r="B6" s="112">
        <v>402</v>
      </c>
      <c r="C6" s="112" t="s">
        <v>17</v>
      </c>
      <c r="D6" s="112" t="s">
        <v>18</v>
      </c>
      <c r="E6" s="112">
        <v>1728</v>
      </c>
      <c r="F6" s="113">
        <v>312205.19</v>
      </c>
      <c r="G6" s="114">
        <v>33.700000000000003</v>
      </c>
      <c r="H6" s="114">
        <v>33.92</v>
      </c>
      <c r="I6" s="115" t="s">
        <v>528</v>
      </c>
      <c r="J6" s="115" t="s">
        <v>530</v>
      </c>
      <c r="K6" s="115" t="s">
        <v>16</v>
      </c>
      <c r="L6" s="115" t="s">
        <v>378</v>
      </c>
      <c r="M6" s="114">
        <v>0</v>
      </c>
      <c r="N6" s="114">
        <v>10590000</v>
      </c>
      <c r="O6" s="114">
        <v>10590000</v>
      </c>
      <c r="P6" s="114">
        <v>0</v>
      </c>
    </row>
    <row r="7" spans="1:18" ht="17.7" customHeight="1">
      <c r="A7" s="111">
        <v>3</v>
      </c>
      <c r="B7" s="112">
        <v>403</v>
      </c>
      <c r="C7" s="112" t="s">
        <v>20</v>
      </c>
      <c r="D7" s="112" t="s">
        <v>21</v>
      </c>
      <c r="E7" s="112">
        <v>1728</v>
      </c>
      <c r="F7" s="113">
        <v>314613.18</v>
      </c>
      <c r="G7" s="114">
        <v>34.9</v>
      </c>
      <c r="H7" s="114">
        <v>34.9</v>
      </c>
      <c r="I7" s="115" t="s">
        <v>528</v>
      </c>
      <c r="J7" s="115" t="s">
        <v>530</v>
      </c>
      <c r="K7" s="115" t="s">
        <v>16</v>
      </c>
      <c r="L7" s="115" t="s">
        <v>378</v>
      </c>
      <c r="M7" s="114">
        <v>0</v>
      </c>
      <c r="N7" s="114">
        <v>10980000</v>
      </c>
      <c r="O7" s="114">
        <v>10980000</v>
      </c>
      <c r="P7" s="114">
        <v>0</v>
      </c>
    </row>
    <row r="8" spans="1:18" ht="16.95" customHeight="1">
      <c r="A8" s="111">
        <v>4</v>
      </c>
      <c r="B8" s="112">
        <v>404</v>
      </c>
      <c r="C8" s="112" t="s">
        <v>22</v>
      </c>
      <c r="D8" s="112" t="s">
        <v>21</v>
      </c>
      <c r="E8" s="112">
        <v>1728</v>
      </c>
      <c r="F8" s="113">
        <v>314613.18</v>
      </c>
      <c r="G8" s="114">
        <v>34.9</v>
      </c>
      <c r="H8" s="114">
        <v>34.9</v>
      </c>
      <c r="I8" s="115" t="s">
        <v>528</v>
      </c>
      <c r="J8" s="115" t="s">
        <v>530</v>
      </c>
      <c r="K8" s="115" t="s">
        <v>16</v>
      </c>
      <c r="L8" s="115" t="s">
        <v>378</v>
      </c>
      <c r="M8" s="114">
        <v>0</v>
      </c>
      <c r="N8" s="114">
        <v>10980000</v>
      </c>
      <c r="O8" s="114">
        <v>10980000</v>
      </c>
      <c r="P8" s="114">
        <v>0</v>
      </c>
    </row>
    <row r="9" spans="1:18" ht="17.7" customHeight="1">
      <c r="A9" s="111">
        <v>5</v>
      </c>
      <c r="B9" s="112">
        <v>405</v>
      </c>
      <c r="C9" s="112" t="s">
        <v>23</v>
      </c>
      <c r="D9" s="112" t="s">
        <v>24</v>
      </c>
      <c r="E9" s="112">
        <v>1728</v>
      </c>
      <c r="F9" s="113">
        <v>314613.18</v>
      </c>
      <c r="G9" s="114">
        <v>34.9</v>
      </c>
      <c r="H9" s="114">
        <v>34.9</v>
      </c>
      <c r="I9" s="115" t="s">
        <v>528</v>
      </c>
      <c r="J9" s="115" t="s">
        <v>530</v>
      </c>
      <c r="K9" s="115" t="s">
        <v>16</v>
      </c>
      <c r="L9" s="115" t="s">
        <v>378</v>
      </c>
      <c r="M9" s="114">
        <v>0</v>
      </c>
      <c r="N9" s="114">
        <v>10980000</v>
      </c>
      <c r="O9" s="114">
        <v>10980000</v>
      </c>
      <c r="P9" s="114">
        <v>0</v>
      </c>
    </row>
    <row r="10" spans="1:18" ht="16.95" customHeight="1">
      <c r="A10" s="111">
        <v>6</v>
      </c>
      <c r="B10" s="112">
        <v>406</v>
      </c>
      <c r="C10" s="112" t="s">
        <v>25</v>
      </c>
      <c r="D10" s="112" t="s">
        <v>26</v>
      </c>
      <c r="E10" s="112">
        <v>1728</v>
      </c>
      <c r="F10" s="113">
        <v>319186.56</v>
      </c>
      <c r="G10" s="114">
        <v>33.700000000000003</v>
      </c>
      <c r="H10" s="114">
        <v>33.93</v>
      </c>
      <c r="I10" s="115" t="s">
        <v>528</v>
      </c>
      <c r="J10" s="115" t="s">
        <v>530</v>
      </c>
      <c r="K10" s="115" t="s">
        <v>16</v>
      </c>
      <c r="L10" s="115" t="s">
        <v>378</v>
      </c>
      <c r="M10" s="114">
        <v>0</v>
      </c>
      <c r="N10" s="114">
        <v>10830000</v>
      </c>
      <c r="O10" s="114">
        <v>10830000</v>
      </c>
      <c r="P10" s="114">
        <v>0</v>
      </c>
    </row>
    <row r="11" spans="1:18" ht="17.7" customHeight="1">
      <c r="A11" s="111">
        <v>7</v>
      </c>
      <c r="B11" s="112">
        <v>407</v>
      </c>
      <c r="C11" s="112" t="s">
        <v>27</v>
      </c>
      <c r="D11" s="112" t="s">
        <v>28</v>
      </c>
      <c r="E11" s="112">
        <v>1728</v>
      </c>
      <c r="F11" s="113">
        <v>314719.35999999999</v>
      </c>
      <c r="G11" s="114">
        <v>34.9</v>
      </c>
      <c r="H11" s="114">
        <v>34.92</v>
      </c>
      <c r="I11" s="115" t="s">
        <v>528</v>
      </c>
      <c r="J11" s="115" t="s">
        <v>530</v>
      </c>
      <c r="K11" s="115" t="s">
        <v>16</v>
      </c>
      <c r="L11" s="115" t="s">
        <v>378</v>
      </c>
      <c r="M11" s="114">
        <v>0</v>
      </c>
      <c r="N11" s="114">
        <v>10990000</v>
      </c>
      <c r="O11" s="114">
        <v>10990000</v>
      </c>
      <c r="P11" s="114">
        <v>0</v>
      </c>
    </row>
    <row r="12" spans="1:18" ht="17.7" customHeight="1">
      <c r="A12" s="111">
        <v>8</v>
      </c>
      <c r="B12" s="112">
        <v>408</v>
      </c>
      <c r="C12" s="112" t="s">
        <v>29</v>
      </c>
      <c r="D12" s="112" t="s">
        <v>30</v>
      </c>
      <c r="E12" s="112">
        <v>1728</v>
      </c>
      <c r="F12" s="113">
        <v>326180.26</v>
      </c>
      <c r="G12" s="114">
        <v>30</v>
      </c>
      <c r="H12" s="114">
        <v>30.29</v>
      </c>
      <c r="I12" s="115" t="s">
        <v>528</v>
      </c>
      <c r="J12" s="115" t="s">
        <v>530</v>
      </c>
      <c r="K12" s="115" t="s">
        <v>16</v>
      </c>
      <c r="L12" s="115" t="s">
        <v>378</v>
      </c>
      <c r="M12" s="114">
        <v>0</v>
      </c>
      <c r="N12" s="114">
        <v>9880000</v>
      </c>
      <c r="O12" s="114">
        <v>9880000</v>
      </c>
      <c r="P12" s="114">
        <v>0</v>
      </c>
    </row>
    <row r="13" spans="1:18" ht="16.95" customHeight="1">
      <c r="A13" s="111">
        <v>9</v>
      </c>
      <c r="B13" s="112">
        <v>409</v>
      </c>
      <c r="C13" s="112" t="s">
        <v>31</v>
      </c>
      <c r="D13" s="112" t="s">
        <v>28</v>
      </c>
      <c r="E13" s="112">
        <v>1728</v>
      </c>
      <c r="F13" s="113">
        <v>316045.84999999998</v>
      </c>
      <c r="G13" s="114">
        <v>34.9</v>
      </c>
      <c r="H13" s="114">
        <v>34.9</v>
      </c>
      <c r="I13" s="115" t="s">
        <v>528</v>
      </c>
      <c r="J13" s="115" t="s">
        <v>530</v>
      </c>
      <c r="K13" s="115" t="s">
        <v>16</v>
      </c>
      <c r="L13" s="115" t="s">
        <v>378</v>
      </c>
      <c r="M13" s="114">
        <v>0</v>
      </c>
      <c r="N13" s="114">
        <v>11030000</v>
      </c>
      <c r="O13" s="114">
        <v>11030000</v>
      </c>
      <c r="P13" s="114">
        <v>0</v>
      </c>
    </row>
    <row r="14" spans="1:18" ht="17.7" customHeight="1">
      <c r="A14" s="111">
        <v>10</v>
      </c>
      <c r="B14" s="112">
        <v>410</v>
      </c>
      <c r="C14" s="112" t="s">
        <v>32</v>
      </c>
      <c r="D14" s="112" t="s">
        <v>33</v>
      </c>
      <c r="E14" s="112">
        <v>1728</v>
      </c>
      <c r="F14" s="113">
        <v>324052.81</v>
      </c>
      <c r="G14" s="114">
        <v>34.799999999999997</v>
      </c>
      <c r="H14" s="114">
        <v>34.840000000000003</v>
      </c>
      <c r="I14" s="115" t="s">
        <v>528</v>
      </c>
      <c r="J14" s="115" t="s">
        <v>530</v>
      </c>
      <c r="K14" s="115" t="s">
        <v>16</v>
      </c>
      <c r="L14" s="115" t="s">
        <v>378</v>
      </c>
      <c r="M14" s="114">
        <v>0</v>
      </c>
      <c r="N14" s="114">
        <v>11290000</v>
      </c>
      <c r="O14" s="114">
        <v>11290000</v>
      </c>
      <c r="P14" s="114">
        <v>0</v>
      </c>
    </row>
    <row r="15" spans="1:18" ht="17.7" customHeight="1">
      <c r="A15" s="111">
        <v>11</v>
      </c>
      <c r="B15" s="112">
        <v>411</v>
      </c>
      <c r="C15" s="112" t="s">
        <v>34</v>
      </c>
      <c r="D15" s="112" t="s">
        <v>35</v>
      </c>
      <c r="E15" s="112">
        <v>1728</v>
      </c>
      <c r="F15" s="113">
        <v>315351.51</v>
      </c>
      <c r="G15" s="114">
        <v>34.799999999999997</v>
      </c>
      <c r="H15" s="114">
        <v>34.85</v>
      </c>
      <c r="I15" s="115" t="s">
        <v>19</v>
      </c>
      <c r="J15" s="115" t="s">
        <v>529</v>
      </c>
      <c r="K15" s="115" t="s">
        <v>16</v>
      </c>
      <c r="L15" s="115" t="s">
        <v>378</v>
      </c>
      <c r="M15" s="114">
        <v>0</v>
      </c>
      <c r="N15" s="114">
        <v>10990000</v>
      </c>
      <c r="O15" s="114">
        <v>10990000</v>
      </c>
      <c r="P15" s="114">
        <v>0</v>
      </c>
    </row>
    <row r="16" spans="1:18" ht="16.95" customHeight="1">
      <c r="A16" s="111">
        <v>12</v>
      </c>
      <c r="B16" s="112">
        <v>412</v>
      </c>
      <c r="C16" s="112" t="s">
        <v>36</v>
      </c>
      <c r="D16" s="112" t="s">
        <v>37</v>
      </c>
      <c r="E16" s="112">
        <v>1728</v>
      </c>
      <c r="F16" s="113">
        <v>306017.19</v>
      </c>
      <c r="G16" s="114">
        <v>34.9</v>
      </c>
      <c r="H16" s="114">
        <v>34.9</v>
      </c>
      <c r="I16" s="115" t="s">
        <v>19</v>
      </c>
      <c r="J16" s="115" t="s">
        <v>529</v>
      </c>
      <c r="K16" s="115" t="s">
        <v>16</v>
      </c>
      <c r="L16" s="115" t="s">
        <v>378</v>
      </c>
      <c r="M16" s="114">
        <v>0</v>
      </c>
      <c r="N16" s="114">
        <v>10680000</v>
      </c>
      <c r="O16" s="114">
        <v>10680000</v>
      </c>
      <c r="P16" s="114">
        <v>0</v>
      </c>
    </row>
    <row r="17" spans="1:17" ht="17.7" customHeight="1">
      <c r="A17" s="111">
        <v>13</v>
      </c>
      <c r="B17" s="112">
        <v>413</v>
      </c>
      <c r="C17" s="112" t="s">
        <v>38</v>
      </c>
      <c r="D17" s="112" t="s">
        <v>39</v>
      </c>
      <c r="E17" s="112">
        <v>1728</v>
      </c>
      <c r="F17" s="113">
        <v>303478.26</v>
      </c>
      <c r="G17" s="114">
        <v>34.5</v>
      </c>
      <c r="H17" s="114">
        <v>34.5</v>
      </c>
      <c r="I17" s="115" t="s">
        <v>528</v>
      </c>
      <c r="J17" s="115" t="s">
        <v>530</v>
      </c>
      <c r="K17" s="115" t="s">
        <v>16</v>
      </c>
      <c r="L17" s="115" t="s">
        <v>378</v>
      </c>
      <c r="M17" s="114">
        <v>0</v>
      </c>
      <c r="N17" s="114">
        <v>10470000</v>
      </c>
      <c r="O17" s="114">
        <v>10470000</v>
      </c>
      <c r="P17" s="114">
        <v>0</v>
      </c>
    </row>
    <row r="18" spans="1:17" ht="16.95" customHeight="1">
      <c r="A18" s="111">
        <v>14</v>
      </c>
      <c r="B18" s="112">
        <v>501</v>
      </c>
      <c r="C18" s="112" t="s">
        <v>40</v>
      </c>
      <c r="D18" s="112" t="s">
        <v>15</v>
      </c>
      <c r="E18" s="112">
        <v>1728</v>
      </c>
      <c r="F18" s="113">
        <v>313125.53999999998</v>
      </c>
      <c r="G18" s="114">
        <v>34.9</v>
      </c>
      <c r="H18" s="114">
        <v>34.97</v>
      </c>
      <c r="I18" s="115" t="s">
        <v>528</v>
      </c>
      <c r="J18" s="115" t="s">
        <v>530</v>
      </c>
      <c r="K18" s="115" t="s">
        <v>16</v>
      </c>
      <c r="L18" s="115" t="s">
        <v>378</v>
      </c>
      <c r="M18" s="114">
        <v>0</v>
      </c>
      <c r="N18" s="114">
        <v>10950000</v>
      </c>
      <c r="O18" s="114">
        <v>10950000</v>
      </c>
      <c r="P18" s="114">
        <v>0</v>
      </c>
    </row>
    <row r="19" spans="1:17" ht="17.7" customHeight="1">
      <c r="A19" s="111">
        <v>15</v>
      </c>
      <c r="B19" s="112">
        <v>502</v>
      </c>
      <c r="C19" s="112" t="s">
        <v>41</v>
      </c>
      <c r="D19" s="112" t="s">
        <v>18</v>
      </c>
      <c r="E19" s="112">
        <v>1728</v>
      </c>
      <c r="F19" s="113">
        <v>267507</v>
      </c>
      <c r="G19" s="114">
        <v>33.92</v>
      </c>
      <c r="H19" s="114">
        <v>33.92</v>
      </c>
      <c r="I19" s="115" t="s">
        <v>42</v>
      </c>
      <c r="J19" s="115"/>
      <c r="K19" s="115" t="s">
        <v>16</v>
      </c>
      <c r="L19" s="115" t="s">
        <v>378</v>
      </c>
      <c r="M19" s="114">
        <v>8200000</v>
      </c>
      <c r="N19" s="114">
        <v>9015000</v>
      </c>
      <c r="O19" s="114">
        <v>8258852</v>
      </c>
      <c r="P19" s="114">
        <v>8127805</v>
      </c>
      <c r="Q19" s="112" t="s">
        <v>379</v>
      </c>
    </row>
    <row r="20" spans="1:17" ht="17.7" customHeight="1">
      <c r="A20" s="111">
        <v>16</v>
      </c>
      <c r="B20" s="112">
        <v>503</v>
      </c>
      <c r="C20" s="112" t="s">
        <v>43</v>
      </c>
      <c r="D20" s="112" t="s">
        <v>21</v>
      </c>
      <c r="E20" s="112">
        <v>1728</v>
      </c>
      <c r="F20" s="113">
        <v>315759.31</v>
      </c>
      <c r="G20" s="114">
        <v>34.9</v>
      </c>
      <c r="H20" s="114">
        <v>34.9</v>
      </c>
      <c r="I20" s="115" t="s">
        <v>528</v>
      </c>
      <c r="J20" s="115" t="s">
        <v>530</v>
      </c>
      <c r="K20" s="115" t="s">
        <v>16</v>
      </c>
      <c r="L20" s="115" t="s">
        <v>378</v>
      </c>
      <c r="M20" s="114">
        <v>0</v>
      </c>
      <c r="N20" s="114">
        <v>11020000</v>
      </c>
      <c r="O20" s="114">
        <v>11020000</v>
      </c>
      <c r="P20" s="114">
        <v>0</v>
      </c>
    </row>
    <row r="21" spans="1:17" ht="16.95" customHeight="1">
      <c r="A21" s="111">
        <v>17</v>
      </c>
      <c r="B21" s="112">
        <v>504</v>
      </c>
      <c r="C21" s="112" t="s">
        <v>44</v>
      </c>
      <c r="D21" s="112" t="s">
        <v>21</v>
      </c>
      <c r="E21" s="112">
        <v>1728</v>
      </c>
      <c r="F21" s="113">
        <v>315759.31</v>
      </c>
      <c r="G21" s="114">
        <v>34.9</v>
      </c>
      <c r="H21" s="114">
        <v>34.9</v>
      </c>
      <c r="I21" s="115" t="s">
        <v>528</v>
      </c>
      <c r="J21" s="115" t="s">
        <v>530</v>
      </c>
      <c r="K21" s="115" t="s">
        <v>16</v>
      </c>
      <c r="L21" s="115" t="s">
        <v>378</v>
      </c>
      <c r="M21" s="114">
        <v>0</v>
      </c>
      <c r="N21" s="114">
        <v>11020000</v>
      </c>
      <c r="O21" s="114">
        <v>11020000</v>
      </c>
      <c r="P21" s="114">
        <v>0</v>
      </c>
    </row>
    <row r="22" spans="1:17" ht="17.7" customHeight="1">
      <c r="A22" s="111">
        <v>18</v>
      </c>
      <c r="B22" s="112">
        <v>505</v>
      </c>
      <c r="C22" s="112" t="s">
        <v>45</v>
      </c>
      <c r="D22" s="112" t="s">
        <v>24</v>
      </c>
      <c r="E22" s="112">
        <v>1728</v>
      </c>
      <c r="F22" s="113">
        <v>315759.31</v>
      </c>
      <c r="G22" s="114">
        <v>34.9</v>
      </c>
      <c r="H22" s="114">
        <v>34.9</v>
      </c>
      <c r="I22" s="115" t="s">
        <v>528</v>
      </c>
      <c r="J22" s="115" t="s">
        <v>530</v>
      </c>
      <c r="K22" s="115" t="s">
        <v>16</v>
      </c>
      <c r="L22" s="115" t="s">
        <v>378</v>
      </c>
      <c r="M22" s="114">
        <v>0</v>
      </c>
      <c r="N22" s="114">
        <v>11020000</v>
      </c>
      <c r="O22" s="114">
        <v>11020000</v>
      </c>
      <c r="P22" s="114">
        <v>0</v>
      </c>
    </row>
    <row r="23" spans="1:17" ht="17.7" customHeight="1">
      <c r="A23" s="111">
        <v>19</v>
      </c>
      <c r="B23" s="112">
        <v>506</v>
      </c>
      <c r="C23" s="112" t="s">
        <v>46</v>
      </c>
      <c r="D23" s="112" t="s">
        <v>26</v>
      </c>
      <c r="E23" s="112">
        <v>1728</v>
      </c>
      <c r="F23" s="113">
        <v>320165.09000000003</v>
      </c>
      <c r="G23" s="114">
        <v>33.700000000000003</v>
      </c>
      <c r="H23" s="114">
        <v>33.92</v>
      </c>
      <c r="I23" s="115" t="s">
        <v>528</v>
      </c>
      <c r="J23" s="115" t="s">
        <v>530</v>
      </c>
      <c r="K23" s="115" t="s">
        <v>16</v>
      </c>
      <c r="L23" s="115" t="s">
        <v>378</v>
      </c>
      <c r="M23" s="114">
        <v>0</v>
      </c>
      <c r="N23" s="114">
        <v>10860000</v>
      </c>
      <c r="O23" s="114">
        <v>10860000</v>
      </c>
      <c r="P23" s="114">
        <v>0</v>
      </c>
    </row>
    <row r="24" spans="1:17" ht="16.95" customHeight="1">
      <c r="A24" s="111">
        <v>20</v>
      </c>
      <c r="B24" s="112">
        <v>507</v>
      </c>
      <c r="C24" s="112" t="s">
        <v>47</v>
      </c>
      <c r="D24" s="112" t="s">
        <v>28</v>
      </c>
      <c r="E24" s="112">
        <v>1728</v>
      </c>
      <c r="F24" s="113">
        <v>310996.56</v>
      </c>
      <c r="G24" s="114">
        <v>34.9</v>
      </c>
      <c r="H24" s="114">
        <v>34.92</v>
      </c>
      <c r="I24" s="115" t="s">
        <v>528</v>
      </c>
      <c r="J24" s="115" t="s">
        <v>530</v>
      </c>
      <c r="K24" s="115" t="s">
        <v>16</v>
      </c>
      <c r="L24" s="115" t="s">
        <v>378</v>
      </c>
      <c r="M24" s="114">
        <v>0</v>
      </c>
      <c r="N24" s="114">
        <v>10860000</v>
      </c>
      <c r="O24" s="114">
        <v>10860000</v>
      </c>
      <c r="P24" s="114">
        <v>0</v>
      </c>
    </row>
    <row r="25" spans="1:17" ht="17.7" customHeight="1">
      <c r="A25" s="111">
        <v>21</v>
      </c>
      <c r="B25" s="112">
        <v>508</v>
      </c>
      <c r="C25" s="112" t="s">
        <v>48</v>
      </c>
      <c r="D25" s="112" t="s">
        <v>30</v>
      </c>
      <c r="E25" s="112">
        <v>1728</v>
      </c>
      <c r="F25" s="113">
        <v>324859.69</v>
      </c>
      <c r="G25" s="114">
        <v>30</v>
      </c>
      <c r="H25" s="114">
        <v>30.29</v>
      </c>
      <c r="I25" s="115" t="s">
        <v>528</v>
      </c>
      <c r="J25" s="115" t="s">
        <v>530</v>
      </c>
      <c r="K25" s="115" t="s">
        <v>16</v>
      </c>
      <c r="L25" s="115" t="s">
        <v>378</v>
      </c>
      <c r="M25" s="114">
        <v>0</v>
      </c>
      <c r="N25" s="114">
        <v>9840000</v>
      </c>
      <c r="O25" s="114">
        <v>9840000</v>
      </c>
      <c r="P25" s="114">
        <v>0</v>
      </c>
    </row>
    <row r="26" spans="1:17" ht="16.95" customHeight="1">
      <c r="A26" s="111">
        <v>22</v>
      </c>
      <c r="B26" s="112">
        <v>509</v>
      </c>
      <c r="C26" s="112" t="s">
        <v>49</v>
      </c>
      <c r="D26" s="112" t="s">
        <v>28</v>
      </c>
      <c r="E26" s="112">
        <v>1728</v>
      </c>
      <c r="F26" s="113">
        <v>264183.38</v>
      </c>
      <c r="G26" s="114">
        <v>34.9</v>
      </c>
      <c r="H26" s="114">
        <v>34.9</v>
      </c>
      <c r="I26" s="115" t="s">
        <v>42</v>
      </c>
      <c r="J26" s="115"/>
      <c r="K26" s="115" t="s">
        <v>16</v>
      </c>
      <c r="L26" s="115" t="s">
        <v>378</v>
      </c>
      <c r="M26" s="114">
        <v>8898000</v>
      </c>
      <c r="N26" s="114">
        <v>9220000</v>
      </c>
      <c r="O26" s="114">
        <v>8898000</v>
      </c>
      <c r="P26" s="114">
        <v>8763202</v>
      </c>
      <c r="Q26" s="112" t="s">
        <v>380</v>
      </c>
    </row>
    <row r="27" spans="1:17" ht="17.7" customHeight="1">
      <c r="A27" s="111">
        <v>23</v>
      </c>
      <c r="B27" s="112">
        <v>510</v>
      </c>
      <c r="C27" s="112" t="s">
        <v>50</v>
      </c>
      <c r="D27" s="112" t="s">
        <v>33</v>
      </c>
      <c r="E27" s="112">
        <v>1728</v>
      </c>
      <c r="F27" s="113">
        <v>270690</v>
      </c>
      <c r="G27" s="114">
        <v>34.840000000000003</v>
      </c>
      <c r="H27" s="114">
        <v>34.840000000000003</v>
      </c>
      <c r="I27" s="115" t="s">
        <v>42</v>
      </c>
      <c r="J27" s="115"/>
      <c r="K27" s="115" t="s">
        <v>16</v>
      </c>
      <c r="L27" s="115" t="s">
        <v>378</v>
      </c>
      <c r="M27" s="114">
        <v>9091000</v>
      </c>
      <c r="N27" s="114">
        <v>9420000</v>
      </c>
      <c r="O27" s="114">
        <v>9091000</v>
      </c>
      <c r="P27" s="114">
        <v>8956431.8000000007</v>
      </c>
      <c r="Q27" s="112" t="s">
        <v>381</v>
      </c>
    </row>
    <row r="28" spans="1:17" ht="17.7" customHeight="1">
      <c r="A28" s="111">
        <v>24</v>
      </c>
      <c r="B28" s="112">
        <v>511</v>
      </c>
      <c r="C28" s="112" t="s">
        <v>51</v>
      </c>
      <c r="D28" s="112" t="s">
        <v>35</v>
      </c>
      <c r="E28" s="112">
        <v>1728</v>
      </c>
      <c r="F28" s="113">
        <v>316212.34000000003</v>
      </c>
      <c r="G28" s="114">
        <v>34.799999999999997</v>
      </c>
      <c r="H28" s="114">
        <v>34.85</v>
      </c>
      <c r="I28" s="115" t="s">
        <v>528</v>
      </c>
      <c r="J28" s="115" t="s">
        <v>530</v>
      </c>
      <c r="K28" s="115" t="s">
        <v>16</v>
      </c>
      <c r="L28" s="115" t="s">
        <v>378</v>
      </c>
      <c r="M28" s="114">
        <v>0</v>
      </c>
      <c r="N28" s="114">
        <v>11020000</v>
      </c>
      <c r="O28" s="114">
        <v>11020000</v>
      </c>
      <c r="P28" s="114">
        <v>0</v>
      </c>
    </row>
    <row r="29" spans="1:17" ht="16.95" customHeight="1">
      <c r="A29" s="111">
        <v>25</v>
      </c>
      <c r="B29" s="112">
        <v>512</v>
      </c>
      <c r="C29" s="112" t="s">
        <v>52</v>
      </c>
      <c r="D29" s="112" t="s">
        <v>37</v>
      </c>
      <c r="E29" s="112">
        <v>1728</v>
      </c>
      <c r="F29" s="113">
        <v>307163.32</v>
      </c>
      <c r="G29" s="114">
        <v>34.9</v>
      </c>
      <c r="H29" s="114">
        <v>34.9</v>
      </c>
      <c r="I29" s="115" t="s">
        <v>528</v>
      </c>
      <c r="J29" s="115" t="s">
        <v>530</v>
      </c>
      <c r="K29" s="115" t="s">
        <v>16</v>
      </c>
      <c r="L29" s="115" t="s">
        <v>378</v>
      </c>
      <c r="M29" s="114">
        <v>0</v>
      </c>
      <c r="N29" s="114">
        <v>10720000</v>
      </c>
      <c r="O29" s="114">
        <v>10720000</v>
      </c>
      <c r="P29" s="114">
        <v>0</v>
      </c>
    </row>
    <row r="30" spans="1:17" ht="16.95" customHeight="1">
      <c r="A30" s="111">
        <v>26</v>
      </c>
      <c r="B30" s="112">
        <v>513</v>
      </c>
      <c r="C30" s="112" t="s">
        <v>53</v>
      </c>
      <c r="D30" s="112" t="s">
        <v>39</v>
      </c>
      <c r="E30" s="112">
        <v>1728</v>
      </c>
      <c r="F30" s="113">
        <v>304347.83</v>
      </c>
      <c r="G30" s="114">
        <v>34.5</v>
      </c>
      <c r="H30" s="114">
        <v>34.5</v>
      </c>
      <c r="I30" s="115" t="s">
        <v>528</v>
      </c>
      <c r="J30" s="115" t="s">
        <v>530</v>
      </c>
      <c r="K30" s="115" t="s">
        <v>16</v>
      </c>
      <c r="L30" s="115" t="s">
        <v>378</v>
      </c>
      <c r="M30" s="114">
        <v>0</v>
      </c>
      <c r="N30" s="114">
        <v>10500000</v>
      </c>
      <c r="O30" s="114">
        <v>10500000</v>
      </c>
      <c r="P30" s="114">
        <v>0</v>
      </c>
    </row>
    <row r="31" spans="1:17" ht="17.7" customHeight="1">
      <c r="A31" s="111">
        <v>27</v>
      </c>
      <c r="B31" s="112">
        <v>601</v>
      </c>
      <c r="C31" s="112" t="s">
        <v>54</v>
      </c>
      <c r="D31" s="112" t="s">
        <v>15</v>
      </c>
      <c r="E31" s="112">
        <v>1728</v>
      </c>
      <c r="F31" s="113">
        <v>240206</v>
      </c>
      <c r="G31" s="114">
        <v>34.97</v>
      </c>
      <c r="H31" s="114">
        <v>34.97</v>
      </c>
      <c r="I31" s="115" t="s">
        <v>42</v>
      </c>
      <c r="J31" s="115"/>
      <c r="K31" s="115" t="s">
        <v>16</v>
      </c>
      <c r="L31" s="115" t="s">
        <v>378</v>
      </c>
      <c r="M31" s="114">
        <v>8400000</v>
      </c>
      <c r="N31" s="114">
        <v>8400000</v>
      </c>
      <c r="O31" s="114">
        <v>8400000</v>
      </c>
      <c r="P31" s="114">
        <v>8264130.4000000004</v>
      </c>
      <c r="Q31" s="112" t="s">
        <v>382</v>
      </c>
    </row>
    <row r="32" spans="1:17" ht="17.7" customHeight="1">
      <c r="A32" s="111">
        <v>28</v>
      </c>
      <c r="B32" s="112">
        <v>602</v>
      </c>
      <c r="C32" s="112" t="s">
        <v>55</v>
      </c>
      <c r="D32" s="112" t="s">
        <v>18</v>
      </c>
      <c r="E32" s="112">
        <v>1728</v>
      </c>
      <c r="F32" s="113">
        <v>261721</v>
      </c>
      <c r="G32" s="114">
        <v>33.92</v>
      </c>
      <c r="H32" s="114">
        <v>33.92</v>
      </c>
      <c r="I32" s="115" t="s">
        <v>42</v>
      </c>
      <c r="J32" s="115"/>
      <c r="K32" s="115" t="s">
        <v>16</v>
      </c>
      <c r="L32" s="115" t="s">
        <v>378</v>
      </c>
      <c r="M32" s="114">
        <v>8424000</v>
      </c>
      <c r="N32" s="114">
        <v>8820000</v>
      </c>
      <c r="O32" s="114">
        <v>8481579</v>
      </c>
      <c r="P32" s="114">
        <v>8349752</v>
      </c>
      <c r="Q32" s="112" t="s">
        <v>383</v>
      </c>
    </row>
    <row r="33" spans="1:17" ht="16.95" customHeight="1">
      <c r="A33" s="111">
        <v>29</v>
      </c>
      <c r="B33" s="112">
        <v>603</v>
      </c>
      <c r="C33" s="112" t="s">
        <v>56</v>
      </c>
      <c r="D33" s="112" t="s">
        <v>21</v>
      </c>
      <c r="E33" s="112">
        <v>1728</v>
      </c>
      <c r="F33" s="113">
        <v>316905.44</v>
      </c>
      <c r="G33" s="114">
        <v>34.9</v>
      </c>
      <c r="H33" s="114">
        <v>34.9</v>
      </c>
      <c r="I33" s="115" t="s">
        <v>19</v>
      </c>
      <c r="J33" s="115" t="s">
        <v>530</v>
      </c>
      <c r="K33" s="115" t="s">
        <v>16</v>
      </c>
      <c r="L33" s="115" t="s">
        <v>378</v>
      </c>
      <c r="M33" s="114">
        <v>0</v>
      </c>
      <c r="N33" s="114">
        <v>11060000</v>
      </c>
      <c r="O33" s="114">
        <v>11060000</v>
      </c>
      <c r="P33" s="114">
        <v>0</v>
      </c>
    </row>
    <row r="34" spans="1:17" ht="17.7" customHeight="1">
      <c r="A34" s="111">
        <v>30</v>
      </c>
      <c r="B34" s="112">
        <v>604</v>
      </c>
      <c r="C34" s="112" t="s">
        <v>57</v>
      </c>
      <c r="D34" s="112" t="s">
        <v>21</v>
      </c>
      <c r="E34" s="112">
        <v>1728</v>
      </c>
      <c r="F34" s="113">
        <v>283668</v>
      </c>
      <c r="G34" s="114">
        <v>34.9</v>
      </c>
      <c r="H34" s="114">
        <v>34.9</v>
      </c>
      <c r="I34" s="115" t="s">
        <v>19</v>
      </c>
      <c r="J34" s="115" t="s">
        <v>530</v>
      </c>
      <c r="K34" s="115" t="s">
        <v>16</v>
      </c>
      <c r="L34" s="115" t="s">
        <v>378</v>
      </c>
      <c r="M34" s="114">
        <v>20000</v>
      </c>
      <c r="N34" s="114">
        <v>9900000</v>
      </c>
      <c r="O34" s="114">
        <v>9900000</v>
      </c>
      <c r="P34" s="114">
        <v>9564400</v>
      </c>
      <c r="Q34" s="112" t="s">
        <v>385</v>
      </c>
    </row>
    <row r="35" spans="1:17" ht="16.95" customHeight="1">
      <c r="A35" s="111">
        <v>31</v>
      </c>
      <c r="B35" s="112">
        <v>605</v>
      </c>
      <c r="C35" s="112" t="s">
        <v>58</v>
      </c>
      <c r="D35" s="112" t="s">
        <v>24</v>
      </c>
      <c r="E35" s="112">
        <v>1728</v>
      </c>
      <c r="F35" s="113">
        <v>316905.44</v>
      </c>
      <c r="G35" s="114">
        <v>34.9</v>
      </c>
      <c r="H35" s="114">
        <v>34.9</v>
      </c>
      <c r="I35" s="115" t="s">
        <v>19</v>
      </c>
      <c r="J35" s="115" t="s">
        <v>530</v>
      </c>
      <c r="K35" s="115" t="s">
        <v>16</v>
      </c>
      <c r="L35" s="115" t="s">
        <v>378</v>
      </c>
      <c r="M35" s="114">
        <v>0</v>
      </c>
      <c r="N35" s="114">
        <v>11060000</v>
      </c>
      <c r="O35" s="114">
        <v>11060000</v>
      </c>
      <c r="P35" s="114">
        <v>0</v>
      </c>
    </row>
    <row r="36" spans="1:17" ht="17.7" customHeight="1">
      <c r="A36" s="111">
        <v>32</v>
      </c>
      <c r="B36" s="112">
        <v>606</v>
      </c>
      <c r="C36" s="112" t="s">
        <v>59</v>
      </c>
      <c r="D36" s="112" t="s">
        <v>26</v>
      </c>
      <c r="E36" s="112">
        <v>1728</v>
      </c>
      <c r="F36" s="113">
        <v>267656</v>
      </c>
      <c r="G36" s="114">
        <v>33.92</v>
      </c>
      <c r="H36" s="114">
        <v>33.92</v>
      </c>
      <c r="I36" s="115" t="s">
        <v>42</v>
      </c>
      <c r="J36" s="115"/>
      <c r="K36" s="115" t="s">
        <v>16</v>
      </c>
      <c r="L36" s="115" t="s">
        <v>378</v>
      </c>
      <c r="M36" s="114">
        <v>8750000</v>
      </c>
      <c r="N36" s="114">
        <v>9020000</v>
      </c>
      <c r="O36" s="114">
        <v>8808885</v>
      </c>
      <c r="P36" s="114">
        <v>8745420</v>
      </c>
      <c r="Q36" s="112" t="s">
        <v>386</v>
      </c>
    </row>
    <row r="37" spans="1:17" ht="17.7" customHeight="1">
      <c r="A37" s="111">
        <v>33</v>
      </c>
      <c r="B37" s="112">
        <v>607</v>
      </c>
      <c r="C37" s="112" t="s">
        <v>60</v>
      </c>
      <c r="D37" s="112" t="s">
        <v>28</v>
      </c>
      <c r="E37" s="112">
        <v>1728</v>
      </c>
      <c r="F37" s="113">
        <v>353951.89</v>
      </c>
      <c r="G37" s="114">
        <v>34.9</v>
      </c>
      <c r="H37" s="114">
        <v>34.92</v>
      </c>
      <c r="I37" s="115" t="s">
        <v>19</v>
      </c>
      <c r="J37" s="115" t="s">
        <v>531</v>
      </c>
      <c r="K37" s="115" t="s">
        <v>16</v>
      </c>
      <c r="L37" s="115" t="s">
        <v>378</v>
      </c>
      <c r="M37" s="114">
        <v>0</v>
      </c>
      <c r="N37" s="114">
        <v>12360000</v>
      </c>
      <c r="O37" s="114">
        <v>12360000</v>
      </c>
      <c r="P37" s="114">
        <v>0</v>
      </c>
    </row>
    <row r="38" spans="1:17" ht="16.95" customHeight="1">
      <c r="A38" s="111">
        <v>34</v>
      </c>
      <c r="B38" s="112">
        <v>608</v>
      </c>
      <c r="C38" s="112" t="s">
        <v>61</v>
      </c>
      <c r="D38" s="112" t="s">
        <v>30</v>
      </c>
      <c r="E38" s="112">
        <v>1728</v>
      </c>
      <c r="F38" s="113">
        <v>271667</v>
      </c>
      <c r="G38" s="114">
        <v>30.29</v>
      </c>
      <c r="H38" s="114">
        <v>30.29</v>
      </c>
      <c r="I38" s="115" t="s">
        <v>42</v>
      </c>
      <c r="J38" s="115"/>
      <c r="K38" s="115" t="s">
        <v>16</v>
      </c>
      <c r="L38" s="115" t="s">
        <v>378</v>
      </c>
      <c r="M38" s="114">
        <v>7784000</v>
      </c>
      <c r="N38" s="114">
        <v>8150000</v>
      </c>
      <c r="O38" s="114">
        <v>7862784</v>
      </c>
      <c r="P38" s="114">
        <v>7744936</v>
      </c>
      <c r="Q38" s="112" t="s">
        <v>387</v>
      </c>
    </row>
    <row r="39" spans="1:17" ht="17.7" customHeight="1">
      <c r="A39" s="111">
        <v>35</v>
      </c>
      <c r="B39" s="112">
        <v>609</v>
      </c>
      <c r="C39" s="112" t="s">
        <v>62</v>
      </c>
      <c r="D39" s="112" t="s">
        <v>28</v>
      </c>
      <c r="E39" s="112">
        <v>1728</v>
      </c>
      <c r="F39" s="113">
        <v>253123</v>
      </c>
      <c r="G39" s="114">
        <v>34.9</v>
      </c>
      <c r="H39" s="114">
        <v>34.9</v>
      </c>
      <c r="I39" s="115" t="s">
        <v>42</v>
      </c>
      <c r="J39" s="115"/>
      <c r="K39" s="115" t="s">
        <v>16</v>
      </c>
      <c r="L39" s="115" t="s">
        <v>378</v>
      </c>
      <c r="M39" s="114">
        <v>8834000</v>
      </c>
      <c r="N39" s="114">
        <v>9250000</v>
      </c>
      <c r="O39" s="114">
        <v>8834000</v>
      </c>
      <c r="P39" s="114">
        <v>8698400</v>
      </c>
      <c r="Q39" s="112" t="s">
        <v>388</v>
      </c>
    </row>
    <row r="40" spans="1:17" ht="17.7" customHeight="1">
      <c r="A40" s="111">
        <v>36</v>
      </c>
      <c r="B40" s="112">
        <v>610</v>
      </c>
      <c r="C40" s="112" t="s">
        <v>63</v>
      </c>
      <c r="D40" s="112" t="s">
        <v>33</v>
      </c>
      <c r="E40" s="112">
        <v>1728</v>
      </c>
      <c r="F40" s="113">
        <v>333908</v>
      </c>
      <c r="G40" s="114">
        <v>34.840000000000003</v>
      </c>
      <c r="H40" s="114">
        <v>34.840000000000003</v>
      </c>
      <c r="I40" s="115" t="s">
        <v>42</v>
      </c>
      <c r="J40" s="115"/>
      <c r="K40" s="115" t="s">
        <v>16</v>
      </c>
      <c r="L40" s="115" t="s">
        <v>378</v>
      </c>
      <c r="M40" s="114">
        <v>11620000</v>
      </c>
      <c r="N40" s="114">
        <v>11620000</v>
      </c>
      <c r="O40" s="114">
        <v>11633357</v>
      </c>
      <c r="P40" s="114">
        <v>11633357</v>
      </c>
      <c r="Q40" s="112" t="s">
        <v>389</v>
      </c>
    </row>
    <row r="41" spans="1:17" ht="16.95" customHeight="1">
      <c r="A41" s="111">
        <v>37</v>
      </c>
      <c r="B41" s="112">
        <v>611</v>
      </c>
      <c r="C41" s="112" t="s">
        <v>64</v>
      </c>
      <c r="D41" s="112" t="s">
        <v>35</v>
      </c>
      <c r="E41" s="112">
        <v>1728</v>
      </c>
      <c r="F41" s="113">
        <v>241033</v>
      </c>
      <c r="G41" s="114">
        <v>34.85</v>
      </c>
      <c r="H41" s="114">
        <v>34.85</v>
      </c>
      <c r="I41" s="115" t="s">
        <v>42</v>
      </c>
      <c r="J41" s="115"/>
      <c r="K41" s="115" t="s">
        <v>16</v>
      </c>
      <c r="L41" s="115" t="s">
        <v>378</v>
      </c>
      <c r="M41" s="114">
        <v>8400000</v>
      </c>
      <c r="N41" s="114">
        <v>8400000</v>
      </c>
      <c r="O41" s="114">
        <v>8400000</v>
      </c>
      <c r="P41" s="114">
        <v>8264592</v>
      </c>
      <c r="Q41" s="112" t="s">
        <v>382</v>
      </c>
    </row>
    <row r="42" spans="1:17" ht="17.7" customHeight="1">
      <c r="A42" s="111">
        <v>38</v>
      </c>
      <c r="B42" s="112">
        <v>612</v>
      </c>
      <c r="C42" s="112" t="s">
        <v>65</v>
      </c>
      <c r="D42" s="112" t="s">
        <v>37</v>
      </c>
      <c r="E42" s="112">
        <v>1728</v>
      </c>
      <c r="F42" s="113">
        <v>240688</v>
      </c>
      <c r="G42" s="114">
        <v>34.9</v>
      </c>
      <c r="H42" s="114">
        <v>34.9</v>
      </c>
      <c r="I42" s="115" t="s">
        <v>42</v>
      </c>
      <c r="J42" s="115"/>
      <c r="K42" s="115" t="s">
        <v>16</v>
      </c>
      <c r="L42" s="115" t="s">
        <v>378</v>
      </c>
      <c r="M42" s="114">
        <v>8400000</v>
      </c>
      <c r="N42" s="114">
        <v>8400000</v>
      </c>
      <c r="O42" s="114">
        <v>8400000</v>
      </c>
      <c r="P42" s="114">
        <v>8264400</v>
      </c>
      <c r="Q42" s="112" t="s">
        <v>382</v>
      </c>
    </row>
    <row r="43" spans="1:17" ht="16.95" customHeight="1">
      <c r="A43" s="111">
        <v>39</v>
      </c>
      <c r="B43" s="112">
        <v>613</v>
      </c>
      <c r="C43" s="112" t="s">
        <v>66</v>
      </c>
      <c r="D43" s="112" t="s">
        <v>39</v>
      </c>
      <c r="E43" s="112">
        <v>1728</v>
      </c>
      <c r="F43" s="113">
        <v>305507.25</v>
      </c>
      <c r="G43" s="114">
        <v>34.5</v>
      </c>
      <c r="H43" s="114">
        <v>34.5</v>
      </c>
      <c r="I43" s="115" t="s">
        <v>528</v>
      </c>
      <c r="J43" s="115" t="s">
        <v>530</v>
      </c>
      <c r="K43" s="115" t="s">
        <v>16</v>
      </c>
      <c r="L43" s="115" t="s">
        <v>378</v>
      </c>
      <c r="M43" s="114">
        <v>0</v>
      </c>
      <c r="N43" s="114">
        <v>10540000</v>
      </c>
      <c r="O43" s="114">
        <v>10540000</v>
      </c>
      <c r="P43" s="114">
        <v>0</v>
      </c>
    </row>
    <row r="44" spans="1:17" ht="17.7" customHeight="1">
      <c r="A44" s="111">
        <v>40</v>
      </c>
      <c r="B44" s="112">
        <v>701</v>
      </c>
      <c r="C44" s="112" t="s">
        <v>67</v>
      </c>
      <c r="D44" s="112" t="s">
        <v>15</v>
      </c>
      <c r="E44" s="112">
        <v>1728</v>
      </c>
      <c r="F44" s="113">
        <v>320917</v>
      </c>
      <c r="G44" s="114">
        <v>34.97</v>
      </c>
      <c r="H44" s="114">
        <v>34.97</v>
      </c>
      <c r="I44" s="115" t="s">
        <v>42</v>
      </c>
      <c r="J44" s="115"/>
      <c r="K44" s="115" t="s">
        <v>16</v>
      </c>
      <c r="L44" s="115" t="s">
        <v>378</v>
      </c>
      <c r="M44" s="114">
        <v>11200000</v>
      </c>
      <c r="N44" s="114">
        <v>11200000</v>
      </c>
      <c r="O44" s="114">
        <v>11222465</v>
      </c>
      <c r="P44" s="114">
        <v>11222465</v>
      </c>
      <c r="Q44" s="112" t="s">
        <v>390</v>
      </c>
    </row>
    <row r="45" spans="1:17" ht="17.7" customHeight="1">
      <c r="A45" s="111">
        <v>41</v>
      </c>
      <c r="B45" s="112">
        <v>702</v>
      </c>
      <c r="C45" s="112" t="s">
        <v>68</v>
      </c>
      <c r="D45" s="112" t="s">
        <v>18</v>
      </c>
      <c r="E45" s="112">
        <v>1728</v>
      </c>
      <c r="F45" s="113">
        <v>317806.59999999998</v>
      </c>
      <c r="G45" s="114">
        <v>33.700000000000003</v>
      </c>
      <c r="H45" s="114">
        <v>33.92</v>
      </c>
      <c r="I45" s="115" t="s">
        <v>528</v>
      </c>
      <c r="J45" s="115" t="s">
        <v>530</v>
      </c>
      <c r="K45" s="115" t="s">
        <v>16</v>
      </c>
      <c r="L45" s="115" t="s">
        <v>378</v>
      </c>
      <c r="M45" s="114">
        <v>0</v>
      </c>
      <c r="N45" s="114">
        <v>10780000</v>
      </c>
      <c r="O45" s="114">
        <v>10780000</v>
      </c>
      <c r="P45" s="114">
        <v>0</v>
      </c>
    </row>
    <row r="46" spans="1:17" ht="16.95" customHeight="1">
      <c r="A46" s="111">
        <v>42</v>
      </c>
      <c r="B46" s="112">
        <v>703</v>
      </c>
      <c r="C46" s="112" t="s">
        <v>69</v>
      </c>
      <c r="D46" s="112" t="s">
        <v>21</v>
      </c>
      <c r="E46" s="112">
        <v>1728</v>
      </c>
      <c r="F46" s="113">
        <v>320630.37</v>
      </c>
      <c r="G46" s="114">
        <v>34.9</v>
      </c>
      <c r="H46" s="114">
        <v>34.9</v>
      </c>
      <c r="I46" s="115" t="s">
        <v>528</v>
      </c>
      <c r="J46" s="115" t="s">
        <v>530</v>
      </c>
      <c r="K46" s="115" t="s">
        <v>16</v>
      </c>
      <c r="L46" s="115" t="s">
        <v>378</v>
      </c>
      <c r="M46" s="114">
        <v>0</v>
      </c>
      <c r="N46" s="114">
        <v>11190000</v>
      </c>
      <c r="O46" s="114">
        <v>11190000</v>
      </c>
      <c r="P46" s="114">
        <v>0</v>
      </c>
    </row>
    <row r="47" spans="1:17" ht="17.7" customHeight="1">
      <c r="A47" s="111">
        <v>43</v>
      </c>
      <c r="B47" s="112">
        <v>704</v>
      </c>
      <c r="C47" s="112" t="s">
        <v>70</v>
      </c>
      <c r="D47" s="112" t="s">
        <v>21</v>
      </c>
      <c r="E47" s="112">
        <v>1728</v>
      </c>
      <c r="F47" s="113">
        <v>320630.37</v>
      </c>
      <c r="G47" s="114">
        <v>34.9</v>
      </c>
      <c r="H47" s="114">
        <v>34.9</v>
      </c>
      <c r="I47" s="115" t="s">
        <v>528</v>
      </c>
      <c r="J47" s="115" t="s">
        <v>530</v>
      </c>
      <c r="K47" s="115" t="s">
        <v>16</v>
      </c>
      <c r="L47" s="115" t="s">
        <v>378</v>
      </c>
      <c r="M47" s="114">
        <v>0</v>
      </c>
      <c r="N47" s="114">
        <v>11190000</v>
      </c>
      <c r="O47" s="114">
        <v>11190000</v>
      </c>
      <c r="P47" s="114">
        <v>0</v>
      </c>
    </row>
    <row r="48" spans="1:17" ht="17.7" customHeight="1">
      <c r="A48" s="111">
        <v>44</v>
      </c>
      <c r="B48" s="112">
        <v>705</v>
      </c>
      <c r="C48" s="112" t="s">
        <v>71</v>
      </c>
      <c r="D48" s="112" t="s">
        <v>24</v>
      </c>
      <c r="E48" s="112">
        <v>1728</v>
      </c>
      <c r="F48" s="113">
        <v>365329.51</v>
      </c>
      <c r="G48" s="114">
        <v>34.9</v>
      </c>
      <c r="H48" s="114">
        <v>34.9</v>
      </c>
      <c r="I48" s="115" t="s">
        <v>19</v>
      </c>
      <c r="J48" s="115" t="s">
        <v>531</v>
      </c>
      <c r="K48" s="115" t="s">
        <v>16</v>
      </c>
      <c r="L48" s="115" t="s">
        <v>378</v>
      </c>
      <c r="M48" s="114">
        <v>0</v>
      </c>
      <c r="N48" s="114">
        <v>12750000</v>
      </c>
      <c r="O48" s="114">
        <v>12750000</v>
      </c>
      <c r="P48" s="114">
        <v>0</v>
      </c>
    </row>
    <row r="49" spans="1:17" ht="16.95" customHeight="1">
      <c r="A49" s="111">
        <v>45</v>
      </c>
      <c r="B49" s="112">
        <v>706</v>
      </c>
      <c r="C49" s="112" t="s">
        <v>72</v>
      </c>
      <c r="D49" s="112" t="s">
        <v>26</v>
      </c>
      <c r="E49" s="112">
        <v>1728</v>
      </c>
      <c r="F49" s="113">
        <v>324882.08</v>
      </c>
      <c r="G49" s="114">
        <v>33.700000000000003</v>
      </c>
      <c r="H49" s="114">
        <v>33.92</v>
      </c>
      <c r="I49" s="115" t="s">
        <v>528</v>
      </c>
      <c r="J49" s="115" t="s">
        <v>530</v>
      </c>
      <c r="K49" s="115" t="s">
        <v>16</v>
      </c>
      <c r="L49" s="115" t="s">
        <v>378</v>
      </c>
      <c r="M49" s="114">
        <v>0</v>
      </c>
      <c r="N49" s="114">
        <v>11020000</v>
      </c>
      <c r="O49" s="114">
        <v>11020000</v>
      </c>
      <c r="P49" s="114">
        <v>0</v>
      </c>
    </row>
    <row r="50" spans="1:17" ht="17.7" customHeight="1">
      <c r="A50" s="111">
        <v>46</v>
      </c>
      <c r="B50" s="112">
        <v>707</v>
      </c>
      <c r="C50" s="112" t="s">
        <v>73</v>
      </c>
      <c r="D50" s="112" t="s">
        <v>28</v>
      </c>
      <c r="E50" s="112">
        <v>1728</v>
      </c>
      <c r="F50" s="113">
        <v>340206.19</v>
      </c>
      <c r="G50" s="114">
        <v>34.9</v>
      </c>
      <c r="H50" s="114">
        <v>34.92</v>
      </c>
      <c r="I50" s="115" t="s">
        <v>528</v>
      </c>
      <c r="J50" s="115" t="s">
        <v>530</v>
      </c>
      <c r="K50" s="115" t="s">
        <v>16</v>
      </c>
      <c r="L50" s="115" t="s">
        <v>378</v>
      </c>
      <c r="M50" s="114">
        <v>0</v>
      </c>
      <c r="N50" s="114">
        <v>11880000</v>
      </c>
      <c r="O50" s="114">
        <v>11880000</v>
      </c>
      <c r="P50" s="114">
        <v>0</v>
      </c>
    </row>
    <row r="51" spans="1:17" ht="16.95" customHeight="1">
      <c r="A51" s="111">
        <v>47</v>
      </c>
      <c r="B51" s="112">
        <v>708</v>
      </c>
      <c r="C51" s="112" t="s">
        <v>74</v>
      </c>
      <c r="D51" s="112" t="s">
        <v>30</v>
      </c>
      <c r="E51" s="112">
        <v>1728</v>
      </c>
      <c r="F51" s="113">
        <v>329811.82</v>
      </c>
      <c r="G51" s="114">
        <v>30</v>
      </c>
      <c r="H51" s="114">
        <v>30.29</v>
      </c>
      <c r="I51" s="115" t="s">
        <v>528</v>
      </c>
      <c r="J51" s="115" t="s">
        <v>530</v>
      </c>
      <c r="K51" s="115" t="s">
        <v>16</v>
      </c>
      <c r="L51" s="115" t="s">
        <v>378</v>
      </c>
      <c r="M51" s="114">
        <v>0</v>
      </c>
      <c r="N51" s="114">
        <v>9990000</v>
      </c>
      <c r="O51" s="114">
        <v>9990000</v>
      </c>
      <c r="P51" s="114">
        <v>0</v>
      </c>
    </row>
    <row r="52" spans="1:17" ht="17.7" customHeight="1">
      <c r="A52" s="111">
        <v>48</v>
      </c>
      <c r="B52" s="112">
        <v>709</v>
      </c>
      <c r="C52" s="112" t="s">
        <v>75</v>
      </c>
      <c r="D52" s="112" t="s">
        <v>28</v>
      </c>
      <c r="E52" s="112">
        <v>1728</v>
      </c>
      <c r="F52" s="113">
        <v>324642</v>
      </c>
      <c r="G52" s="114">
        <v>34.9</v>
      </c>
      <c r="H52" s="114">
        <v>34.9</v>
      </c>
      <c r="I52" s="115" t="s">
        <v>42</v>
      </c>
      <c r="J52" s="115"/>
      <c r="K52" s="115" t="s">
        <v>16</v>
      </c>
      <c r="L52" s="115" t="s">
        <v>378</v>
      </c>
      <c r="M52" s="114">
        <v>11330000</v>
      </c>
      <c r="N52" s="114">
        <v>11330000</v>
      </c>
      <c r="O52" s="114">
        <v>11330000</v>
      </c>
      <c r="P52" s="114">
        <v>11330000</v>
      </c>
      <c r="Q52" s="112" t="s">
        <v>391</v>
      </c>
    </row>
    <row r="53" spans="1:17" ht="17.7" customHeight="1">
      <c r="A53" s="111">
        <v>49</v>
      </c>
      <c r="B53" s="112">
        <v>710</v>
      </c>
      <c r="C53" s="112" t="s">
        <v>76</v>
      </c>
      <c r="D53" s="112" t="s">
        <v>33</v>
      </c>
      <c r="E53" s="112">
        <v>1728</v>
      </c>
      <c r="F53" s="113">
        <v>329310.34000000003</v>
      </c>
      <c r="G53" s="114">
        <v>34.799999999999997</v>
      </c>
      <c r="H53" s="114">
        <v>34.799999999999997</v>
      </c>
      <c r="I53" s="115" t="s">
        <v>528</v>
      </c>
      <c r="J53" s="115" t="s">
        <v>530</v>
      </c>
      <c r="K53" s="115" t="s">
        <v>16</v>
      </c>
      <c r="L53" s="115" t="s">
        <v>378</v>
      </c>
      <c r="M53" s="114">
        <v>0</v>
      </c>
      <c r="N53" s="114">
        <v>11460000</v>
      </c>
      <c r="O53" s="114">
        <v>11460000</v>
      </c>
      <c r="P53" s="114">
        <v>0</v>
      </c>
    </row>
    <row r="54" spans="1:17" ht="16.95" customHeight="1">
      <c r="A54" s="111">
        <v>50</v>
      </c>
      <c r="B54" s="112">
        <v>711</v>
      </c>
      <c r="C54" s="112" t="s">
        <v>77</v>
      </c>
      <c r="D54" s="112" t="s">
        <v>78</v>
      </c>
      <c r="E54" s="112">
        <v>1728</v>
      </c>
      <c r="F54" s="113">
        <v>340114.61</v>
      </c>
      <c r="G54" s="114">
        <v>34.9</v>
      </c>
      <c r="H54" s="114">
        <v>34.9</v>
      </c>
      <c r="I54" s="115" t="s">
        <v>528</v>
      </c>
      <c r="J54" s="115" t="s">
        <v>530</v>
      </c>
      <c r="K54" s="115" t="s">
        <v>16</v>
      </c>
      <c r="L54" s="115" t="s">
        <v>378</v>
      </c>
      <c r="M54" s="114">
        <v>0</v>
      </c>
      <c r="N54" s="114">
        <v>11870000</v>
      </c>
      <c r="O54" s="114">
        <v>11870000</v>
      </c>
      <c r="P54" s="114">
        <v>0</v>
      </c>
    </row>
    <row r="55" spans="1:17" ht="16.95" customHeight="1">
      <c r="A55" s="111">
        <v>51</v>
      </c>
      <c r="B55" s="112">
        <v>712</v>
      </c>
      <c r="C55" s="112" t="s">
        <v>79</v>
      </c>
      <c r="D55" s="112" t="s">
        <v>80</v>
      </c>
      <c r="E55" s="112">
        <v>1728</v>
      </c>
      <c r="F55" s="113">
        <v>319253</v>
      </c>
      <c r="G55" s="114">
        <v>34.93</v>
      </c>
      <c r="H55" s="114">
        <v>34.93</v>
      </c>
      <c r="I55" s="115" t="s">
        <v>42</v>
      </c>
      <c r="J55" s="115"/>
      <c r="K55" s="115" t="s">
        <v>16</v>
      </c>
      <c r="L55" s="115" t="s">
        <v>378</v>
      </c>
      <c r="M55" s="114">
        <v>11110000</v>
      </c>
      <c r="N55" s="114">
        <v>11110000</v>
      </c>
      <c r="O55" s="114">
        <v>11151503</v>
      </c>
      <c r="P55" s="114">
        <v>11151503</v>
      </c>
      <c r="Q55" s="112" t="s">
        <v>392</v>
      </c>
    </row>
    <row r="56" spans="1:17" ht="17.7" customHeight="1">
      <c r="A56" s="111">
        <v>52</v>
      </c>
      <c r="B56" s="112">
        <v>713</v>
      </c>
      <c r="C56" s="112" t="s">
        <v>81</v>
      </c>
      <c r="D56" s="112" t="s">
        <v>35</v>
      </c>
      <c r="E56" s="112">
        <v>1728</v>
      </c>
      <c r="F56" s="113">
        <v>339942.53</v>
      </c>
      <c r="G56" s="114">
        <v>34.799999999999997</v>
      </c>
      <c r="H56" s="114">
        <v>34.799999999999997</v>
      </c>
      <c r="I56" s="115" t="s">
        <v>528</v>
      </c>
      <c r="J56" s="115" t="s">
        <v>530</v>
      </c>
      <c r="K56" s="115" t="s">
        <v>16</v>
      </c>
      <c r="L56" s="115" t="s">
        <v>378</v>
      </c>
      <c r="M56" s="114">
        <v>0</v>
      </c>
      <c r="N56" s="114">
        <v>11830000</v>
      </c>
      <c r="O56" s="114">
        <v>11830000</v>
      </c>
      <c r="P56" s="114">
        <v>0</v>
      </c>
    </row>
    <row r="57" spans="1:17" ht="17.7" customHeight="1">
      <c r="A57" s="111">
        <v>53</v>
      </c>
      <c r="B57" s="112">
        <v>714</v>
      </c>
      <c r="C57" s="112" t="s">
        <v>82</v>
      </c>
      <c r="D57" s="112" t="s">
        <v>37</v>
      </c>
      <c r="E57" s="112">
        <v>1728</v>
      </c>
      <c r="F57" s="113">
        <v>327507</v>
      </c>
      <c r="G57" s="114">
        <v>34.9</v>
      </c>
      <c r="H57" s="114">
        <v>34.9</v>
      </c>
      <c r="I57" s="115" t="s">
        <v>42</v>
      </c>
      <c r="J57" s="115"/>
      <c r="K57" s="115" t="s">
        <v>16</v>
      </c>
      <c r="L57" s="115" t="s">
        <v>378</v>
      </c>
      <c r="M57" s="114">
        <v>11430000</v>
      </c>
      <c r="N57" s="114">
        <v>11430000</v>
      </c>
      <c r="O57" s="114">
        <v>11430000</v>
      </c>
      <c r="P57" s="114">
        <v>11430000</v>
      </c>
      <c r="Q57" s="112" t="s">
        <v>393</v>
      </c>
    </row>
    <row r="58" spans="1:17" ht="16.95" customHeight="1">
      <c r="A58" s="111">
        <v>54</v>
      </c>
      <c r="B58" s="112">
        <v>801</v>
      </c>
      <c r="C58" s="112" t="s">
        <v>83</v>
      </c>
      <c r="D58" s="112" t="s">
        <v>15</v>
      </c>
      <c r="E58" s="112">
        <v>1728</v>
      </c>
      <c r="F58" s="113">
        <v>277381</v>
      </c>
      <c r="G58" s="114">
        <v>34.97</v>
      </c>
      <c r="H58" s="114">
        <v>34.97</v>
      </c>
      <c r="I58" s="115" t="s">
        <v>42</v>
      </c>
      <c r="J58" s="115"/>
      <c r="K58" s="115" t="s">
        <v>16</v>
      </c>
      <c r="L58" s="115" t="s">
        <v>378</v>
      </c>
      <c r="M58" s="114">
        <v>9700000</v>
      </c>
      <c r="N58" s="114">
        <v>9700000</v>
      </c>
      <c r="O58" s="114">
        <v>9700000</v>
      </c>
      <c r="P58" s="114">
        <v>9562696.4000000004</v>
      </c>
      <c r="Q58" s="112" t="s">
        <v>394</v>
      </c>
    </row>
    <row r="59" spans="1:17" ht="17.7" customHeight="1">
      <c r="A59" s="111">
        <v>55</v>
      </c>
      <c r="B59" s="112">
        <v>802</v>
      </c>
      <c r="C59" s="112" t="s">
        <v>84</v>
      </c>
      <c r="D59" s="112" t="s">
        <v>18</v>
      </c>
      <c r="E59" s="112">
        <v>1728</v>
      </c>
      <c r="F59" s="113">
        <v>335312</v>
      </c>
      <c r="G59" s="114">
        <v>33.92</v>
      </c>
      <c r="H59" s="114">
        <v>33.92</v>
      </c>
      <c r="I59" s="115" t="s">
        <v>42</v>
      </c>
      <c r="J59" s="115"/>
      <c r="K59" s="115" t="s">
        <v>16</v>
      </c>
      <c r="L59" s="115" t="s">
        <v>378</v>
      </c>
      <c r="M59" s="114">
        <v>11300000</v>
      </c>
      <c r="N59" s="114">
        <v>11300000</v>
      </c>
      <c r="O59" s="114">
        <v>11373769</v>
      </c>
      <c r="P59" s="114">
        <v>11373769</v>
      </c>
      <c r="Q59" s="112" t="s">
        <v>395</v>
      </c>
    </row>
    <row r="60" spans="1:17" ht="16.95" customHeight="1">
      <c r="A60" s="111">
        <v>56</v>
      </c>
      <c r="B60" s="112">
        <v>803</v>
      </c>
      <c r="C60" s="112" t="s">
        <v>85</v>
      </c>
      <c r="D60" s="112" t="s">
        <v>21</v>
      </c>
      <c r="E60" s="112">
        <v>1728</v>
      </c>
      <c r="F60" s="113">
        <v>342120.34</v>
      </c>
      <c r="G60" s="114">
        <v>34.9</v>
      </c>
      <c r="H60" s="114">
        <v>34.9</v>
      </c>
      <c r="I60" s="115" t="s">
        <v>19</v>
      </c>
      <c r="J60" s="115" t="s">
        <v>530</v>
      </c>
      <c r="K60" s="115" t="s">
        <v>16</v>
      </c>
      <c r="L60" s="115" t="s">
        <v>378</v>
      </c>
      <c r="M60" s="114">
        <v>0</v>
      </c>
      <c r="N60" s="114">
        <v>11940000</v>
      </c>
      <c r="O60" s="114">
        <v>11940000</v>
      </c>
      <c r="P60" s="114">
        <v>0</v>
      </c>
    </row>
    <row r="61" spans="1:17" ht="17.7" customHeight="1">
      <c r="A61" s="111">
        <v>57</v>
      </c>
      <c r="B61" s="112">
        <v>804</v>
      </c>
      <c r="C61" s="112" t="s">
        <v>86</v>
      </c>
      <c r="D61" s="112" t="s">
        <v>21</v>
      </c>
      <c r="E61" s="112">
        <v>1728</v>
      </c>
      <c r="F61" s="113">
        <v>337536</v>
      </c>
      <c r="G61" s="114">
        <v>34.9</v>
      </c>
      <c r="H61" s="114">
        <v>34.9</v>
      </c>
      <c r="I61" s="115" t="s">
        <v>42</v>
      </c>
      <c r="J61" s="115"/>
      <c r="K61" s="115" t="s">
        <v>16</v>
      </c>
      <c r="L61" s="115" t="s">
        <v>378</v>
      </c>
      <c r="M61" s="114">
        <v>11780000</v>
      </c>
      <c r="N61" s="114">
        <v>11780000</v>
      </c>
      <c r="O61" s="114">
        <v>11780000</v>
      </c>
      <c r="P61" s="114">
        <v>11780000</v>
      </c>
      <c r="Q61" s="112" t="s">
        <v>396</v>
      </c>
    </row>
    <row r="62" spans="1:17" ht="17.7" customHeight="1">
      <c r="A62" s="111">
        <v>58</v>
      </c>
      <c r="B62" s="112">
        <v>805</v>
      </c>
      <c r="C62" s="112" t="s">
        <v>87</v>
      </c>
      <c r="D62" s="112" t="s">
        <v>24</v>
      </c>
      <c r="E62" s="112">
        <v>1728</v>
      </c>
      <c r="F62" s="113">
        <v>336676</v>
      </c>
      <c r="G62" s="114">
        <v>34.9</v>
      </c>
      <c r="H62" s="114">
        <v>34.9</v>
      </c>
      <c r="I62" s="115" t="s">
        <v>42</v>
      </c>
      <c r="J62" s="115"/>
      <c r="K62" s="115" t="s">
        <v>16</v>
      </c>
      <c r="L62" s="115" t="s">
        <v>378</v>
      </c>
      <c r="M62" s="114">
        <v>11750000</v>
      </c>
      <c r="N62" s="114">
        <v>11750000</v>
      </c>
      <c r="O62" s="114">
        <v>11750000</v>
      </c>
      <c r="P62" s="114">
        <v>11712308</v>
      </c>
      <c r="Q62" s="112" t="s">
        <v>397</v>
      </c>
    </row>
    <row r="63" spans="1:17" ht="16.95" customHeight="1">
      <c r="A63" s="111">
        <v>59</v>
      </c>
      <c r="B63" s="112">
        <v>806</v>
      </c>
      <c r="C63" s="112" t="s">
        <v>88</v>
      </c>
      <c r="D63" s="112" t="s">
        <v>26</v>
      </c>
      <c r="E63" s="112">
        <v>1728</v>
      </c>
      <c r="F63" s="113">
        <v>342730</v>
      </c>
      <c r="G63" s="114">
        <v>33.92</v>
      </c>
      <c r="H63" s="114">
        <v>33.92</v>
      </c>
      <c r="I63" s="115" t="s">
        <v>42</v>
      </c>
      <c r="J63" s="115"/>
      <c r="K63" s="115" t="s">
        <v>16</v>
      </c>
      <c r="L63" s="115" t="s">
        <v>378</v>
      </c>
      <c r="M63" s="114">
        <v>11550000</v>
      </c>
      <c r="N63" s="114">
        <v>11550000</v>
      </c>
      <c r="O63" s="114">
        <v>11625401</v>
      </c>
      <c r="P63" s="114">
        <v>11625401</v>
      </c>
      <c r="Q63" s="112" t="s">
        <v>398</v>
      </c>
    </row>
    <row r="64" spans="1:17" ht="17.7" customHeight="1">
      <c r="A64" s="111">
        <v>60</v>
      </c>
      <c r="B64" s="112">
        <v>807</v>
      </c>
      <c r="C64" s="112" t="s">
        <v>89</v>
      </c>
      <c r="D64" s="112" t="s">
        <v>28</v>
      </c>
      <c r="E64" s="112">
        <v>1728</v>
      </c>
      <c r="F64" s="113">
        <v>336103</v>
      </c>
      <c r="G64" s="114">
        <v>34.92</v>
      </c>
      <c r="H64" s="114">
        <v>34.92</v>
      </c>
      <c r="I64" s="115" t="s">
        <v>42</v>
      </c>
      <c r="J64" s="115"/>
      <c r="K64" s="115" t="s">
        <v>16</v>
      </c>
      <c r="L64" s="115" t="s">
        <v>378</v>
      </c>
      <c r="M64" s="114">
        <v>11730000</v>
      </c>
      <c r="N64" s="114">
        <v>11730000</v>
      </c>
      <c r="O64" s="114">
        <v>11736723</v>
      </c>
      <c r="P64" s="114">
        <v>11736723</v>
      </c>
      <c r="Q64" s="112" t="s">
        <v>399</v>
      </c>
    </row>
    <row r="65" spans="1:17" ht="17.7" customHeight="1">
      <c r="A65" s="111">
        <v>61</v>
      </c>
      <c r="B65" s="112">
        <v>808</v>
      </c>
      <c r="C65" s="112" t="s">
        <v>90</v>
      </c>
      <c r="D65" s="112" t="s">
        <v>30</v>
      </c>
      <c r="E65" s="112">
        <v>1728</v>
      </c>
      <c r="F65" s="113">
        <v>339385.94</v>
      </c>
      <c r="G65" s="114">
        <v>30</v>
      </c>
      <c r="H65" s="114">
        <v>30.29</v>
      </c>
      <c r="I65" s="115" t="s">
        <v>19</v>
      </c>
      <c r="J65" s="115" t="s">
        <v>530</v>
      </c>
      <c r="K65" s="115" t="s">
        <v>16</v>
      </c>
      <c r="L65" s="115" t="s">
        <v>378</v>
      </c>
      <c r="M65" s="114">
        <v>0</v>
      </c>
      <c r="N65" s="114">
        <v>10280000</v>
      </c>
      <c r="O65" s="114">
        <v>10280000</v>
      </c>
      <c r="P65" s="114">
        <v>0</v>
      </c>
    </row>
    <row r="66" spans="1:17" ht="16.95" customHeight="1">
      <c r="A66" s="111">
        <v>62</v>
      </c>
      <c r="B66" s="112">
        <v>809</v>
      </c>
      <c r="C66" s="112" t="s">
        <v>91</v>
      </c>
      <c r="D66" s="112" t="s">
        <v>28</v>
      </c>
      <c r="E66" s="112">
        <v>1728</v>
      </c>
      <c r="F66" s="113">
        <v>350430</v>
      </c>
      <c r="G66" s="114">
        <v>34.9</v>
      </c>
      <c r="H66" s="114">
        <v>34.9</v>
      </c>
      <c r="I66" s="115" t="s">
        <v>42</v>
      </c>
      <c r="J66" s="115"/>
      <c r="K66" s="115" t="s">
        <v>16</v>
      </c>
      <c r="L66" s="115" t="s">
        <v>378</v>
      </c>
      <c r="M66" s="114">
        <v>12230000</v>
      </c>
      <c r="N66" s="114">
        <v>12230000</v>
      </c>
      <c r="O66" s="114">
        <v>12230000</v>
      </c>
      <c r="P66" s="114">
        <v>12230000</v>
      </c>
      <c r="Q66" s="112" t="s">
        <v>400</v>
      </c>
    </row>
    <row r="67" spans="1:17" ht="17.7" customHeight="1">
      <c r="A67" s="111">
        <v>63</v>
      </c>
      <c r="B67" s="112">
        <v>810</v>
      </c>
      <c r="C67" s="112" t="s">
        <v>92</v>
      </c>
      <c r="D67" s="112" t="s">
        <v>33</v>
      </c>
      <c r="E67" s="112">
        <v>1728</v>
      </c>
      <c r="F67" s="113">
        <v>284483</v>
      </c>
      <c r="G67" s="114">
        <v>34.799999999999997</v>
      </c>
      <c r="H67" s="114">
        <v>34.799999999999997</v>
      </c>
      <c r="I67" s="115" t="s">
        <v>42</v>
      </c>
      <c r="J67" s="115"/>
      <c r="K67" s="115" t="s">
        <v>16</v>
      </c>
      <c r="L67" s="115" t="s">
        <v>378</v>
      </c>
      <c r="M67" s="114">
        <v>9900000</v>
      </c>
      <c r="N67" s="114">
        <v>9900000</v>
      </c>
      <c r="O67" s="114">
        <v>9900000</v>
      </c>
      <c r="P67" s="114">
        <v>9563358</v>
      </c>
      <c r="Q67" s="112" t="s">
        <v>401</v>
      </c>
    </row>
    <row r="68" spans="1:17" ht="16.95" customHeight="1">
      <c r="A68" s="111">
        <v>64</v>
      </c>
      <c r="B68" s="112">
        <v>811</v>
      </c>
      <c r="C68" s="112" t="s">
        <v>93</v>
      </c>
      <c r="D68" s="112" t="s">
        <v>78</v>
      </c>
      <c r="E68" s="112">
        <v>1728</v>
      </c>
      <c r="F68" s="113">
        <v>336963</v>
      </c>
      <c r="G68" s="114">
        <v>34.9</v>
      </c>
      <c r="H68" s="114">
        <v>34.9</v>
      </c>
      <c r="I68" s="115" t="s">
        <v>42</v>
      </c>
      <c r="J68" s="115"/>
      <c r="K68" s="115" t="s">
        <v>16</v>
      </c>
      <c r="L68" s="115" t="s">
        <v>378</v>
      </c>
      <c r="M68" s="114">
        <v>11760000</v>
      </c>
      <c r="N68" s="114">
        <v>11760000</v>
      </c>
      <c r="O68" s="114">
        <v>11760000</v>
      </c>
      <c r="P68" s="114">
        <v>11760000</v>
      </c>
      <c r="Q68" s="112" t="s">
        <v>402</v>
      </c>
    </row>
    <row r="69" spans="1:17" ht="17.7" customHeight="1">
      <c r="A69" s="111">
        <v>65</v>
      </c>
      <c r="B69" s="112">
        <v>812</v>
      </c>
      <c r="C69" s="112" t="s">
        <v>94</v>
      </c>
      <c r="D69" s="112" t="s">
        <v>80</v>
      </c>
      <c r="E69" s="112">
        <v>1728</v>
      </c>
      <c r="F69" s="113">
        <v>342112.8</v>
      </c>
      <c r="G69" s="114">
        <v>34.799999999999997</v>
      </c>
      <c r="H69" s="114">
        <v>34.93</v>
      </c>
      <c r="I69" s="115" t="s">
        <v>19</v>
      </c>
      <c r="J69" s="115" t="s">
        <v>530</v>
      </c>
      <c r="K69" s="115" t="s">
        <v>16</v>
      </c>
      <c r="L69" s="115" t="s">
        <v>378</v>
      </c>
      <c r="M69" s="114">
        <v>0</v>
      </c>
      <c r="N69" s="114">
        <v>11950000</v>
      </c>
      <c r="O69" s="114">
        <v>11950000</v>
      </c>
      <c r="P69" s="114">
        <v>0</v>
      </c>
    </row>
    <row r="70" spans="1:17" ht="17.7" customHeight="1">
      <c r="A70" s="111">
        <v>66</v>
      </c>
      <c r="B70" s="112">
        <v>813</v>
      </c>
      <c r="C70" s="112" t="s">
        <v>95</v>
      </c>
      <c r="D70" s="112" t="s">
        <v>35</v>
      </c>
      <c r="E70" s="112">
        <v>1728</v>
      </c>
      <c r="F70" s="113">
        <v>335920</v>
      </c>
      <c r="G70" s="114">
        <v>34.799999999999997</v>
      </c>
      <c r="H70" s="114">
        <v>34.799999999999997</v>
      </c>
      <c r="I70" s="115" t="s">
        <v>42</v>
      </c>
      <c r="J70" s="115"/>
      <c r="K70" s="115" t="s">
        <v>16</v>
      </c>
      <c r="L70" s="115" t="s">
        <v>378</v>
      </c>
      <c r="M70" s="114">
        <v>11690000</v>
      </c>
      <c r="N70" s="114">
        <v>11690000</v>
      </c>
      <c r="O70" s="114">
        <v>11690000</v>
      </c>
      <c r="P70" s="114">
        <v>11690000</v>
      </c>
      <c r="Q70" s="112" t="s">
        <v>403</v>
      </c>
    </row>
    <row r="71" spans="1:17" ht="16.95" customHeight="1">
      <c r="A71" s="111">
        <v>67</v>
      </c>
      <c r="B71" s="112">
        <v>814</v>
      </c>
      <c r="C71" s="112" t="s">
        <v>96</v>
      </c>
      <c r="D71" s="112" t="s">
        <v>37</v>
      </c>
      <c r="E71" s="112">
        <v>1728</v>
      </c>
      <c r="F71" s="113">
        <v>328939.83</v>
      </c>
      <c r="G71" s="114">
        <v>34.9</v>
      </c>
      <c r="H71" s="114">
        <v>34.9</v>
      </c>
      <c r="I71" s="115" t="s">
        <v>19</v>
      </c>
      <c r="J71" s="115" t="s">
        <v>530</v>
      </c>
      <c r="K71" s="115" t="s">
        <v>16</v>
      </c>
      <c r="L71" s="115" t="s">
        <v>378</v>
      </c>
      <c r="M71" s="114">
        <v>0</v>
      </c>
      <c r="N71" s="114">
        <v>11480000</v>
      </c>
      <c r="O71" s="114">
        <v>11480000</v>
      </c>
      <c r="P71" s="114">
        <v>0</v>
      </c>
    </row>
    <row r="72" spans="1:17" ht="17.7" customHeight="1">
      <c r="A72" s="111">
        <v>68</v>
      </c>
      <c r="B72" s="112">
        <v>901</v>
      </c>
      <c r="C72" s="112" t="s">
        <v>97</v>
      </c>
      <c r="D72" s="112" t="s">
        <v>15</v>
      </c>
      <c r="E72" s="112">
        <v>1728</v>
      </c>
      <c r="F72" s="113">
        <v>337536</v>
      </c>
      <c r="G72" s="114">
        <v>34.97</v>
      </c>
      <c r="H72" s="114">
        <v>34.97</v>
      </c>
      <c r="I72" s="115" t="s">
        <v>42</v>
      </c>
      <c r="J72" s="115"/>
      <c r="K72" s="115" t="s">
        <v>16</v>
      </c>
      <c r="L72" s="115" t="s">
        <v>378</v>
      </c>
      <c r="M72" s="114">
        <v>11780000</v>
      </c>
      <c r="N72" s="114">
        <v>11780000</v>
      </c>
      <c r="O72" s="114">
        <v>11803628</v>
      </c>
      <c r="P72" s="114">
        <v>11803628</v>
      </c>
      <c r="Q72" s="112" t="s">
        <v>404</v>
      </c>
    </row>
    <row r="73" spans="1:17" ht="17.7" customHeight="1">
      <c r="A73" s="111">
        <v>69</v>
      </c>
      <c r="B73" s="112">
        <v>902</v>
      </c>
      <c r="C73" s="112" t="s">
        <v>98</v>
      </c>
      <c r="D73" s="112" t="s">
        <v>18</v>
      </c>
      <c r="E73" s="112">
        <v>1728</v>
      </c>
      <c r="F73" s="113">
        <v>262382</v>
      </c>
      <c r="G73" s="114">
        <v>33.92</v>
      </c>
      <c r="H73" s="114">
        <v>33.92</v>
      </c>
      <c r="I73" s="115" t="s">
        <v>42</v>
      </c>
      <c r="J73" s="115"/>
      <c r="K73" s="115" t="s">
        <v>16</v>
      </c>
      <c r="L73" s="115" t="s">
        <v>378</v>
      </c>
      <c r="M73" s="114">
        <v>8900000</v>
      </c>
      <c r="N73" s="114">
        <v>8900000</v>
      </c>
      <c r="O73" s="114">
        <v>8900000</v>
      </c>
      <c r="P73" s="114">
        <v>8766138.4000000004</v>
      </c>
      <c r="Q73" s="112" t="s">
        <v>405</v>
      </c>
    </row>
    <row r="74" spans="1:17" ht="16.95" customHeight="1">
      <c r="A74" s="111">
        <v>70</v>
      </c>
      <c r="B74" s="112">
        <v>903</v>
      </c>
      <c r="C74" s="112" t="s">
        <v>99</v>
      </c>
      <c r="D74" s="112" t="s">
        <v>21</v>
      </c>
      <c r="E74" s="112">
        <v>1728</v>
      </c>
      <c r="F74" s="113">
        <v>342979.94</v>
      </c>
      <c r="G74" s="114">
        <v>34.9</v>
      </c>
      <c r="H74" s="114">
        <v>34.9</v>
      </c>
      <c r="I74" s="115" t="s">
        <v>19</v>
      </c>
      <c r="J74" s="115" t="s">
        <v>530</v>
      </c>
      <c r="K74" s="115" t="s">
        <v>16</v>
      </c>
      <c r="L74" s="115" t="s">
        <v>378</v>
      </c>
      <c r="M74" s="114">
        <v>0</v>
      </c>
      <c r="N74" s="114">
        <v>11970000</v>
      </c>
      <c r="O74" s="114">
        <v>11970000</v>
      </c>
      <c r="P74" s="114">
        <v>0</v>
      </c>
    </row>
    <row r="75" spans="1:17" ht="17.7" customHeight="1">
      <c r="A75" s="111">
        <v>71</v>
      </c>
      <c r="B75" s="112">
        <v>904</v>
      </c>
      <c r="C75" s="112" t="s">
        <v>100</v>
      </c>
      <c r="D75" s="112" t="s">
        <v>21</v>
      </c>
      <c r="E75" s="112">
        <v>1728</v>
      </c>
      <c r="F75" s="113">
        <v>338682</v>
      </c>
      <c r="G75" s="114">
        <v>34.9</v>
      </c>
      <c r="H75" s="114">
        <v>34.9</v>
      </c>
      <c r="I75" s="115" t="s">
        <v>42</v>
      </c>
      <c r="J75" s="115"/>
      <c r="K75" s="115" t="s">
        <v>16</v>
      </c>
      <c r="L75" s="115" t="s">
        <v>378</v>
      </c>
      <c r="M75" s="114">
        <v>11820000</v>
      </c>
      <c r="N75" s="114">
        <v>11820000</v>
      </c>
      <c r="O75" s="114">
        <v>11820000</v>
      </c>
      <c r="P75" s="114">
        <v>11820000</v>
      </c>
      <c r="Q75" s="112" t="s">
        <v>406</v>
      </c>
    </row>
    <row r="76" spans="1:17" ht="16.95" customHeight="1">
      <c r="A76" s="111">
        <v>72</v>
      </c>
      <c r="B76" s="112">
        <v>905</v>
      </c>
      <c r="C76" s="112" t="s">
        <v>101</v>
      </c>
      <c r="D76" s="112" t="s">
        <v>24</v>
      </c>
      <c r="E76" s="112">
        <v>1728</v>
      </c>
      <c r="F76" s="113">
        <v>263610</v>
      </c>
      <c r="G76" s="114">
        <v>34.9</v>
      </c>
      <c r="H76" s="114">
        <v>34.9</v>
      </c>
      <c r="I76" s="115" t="s">
        <v>42</v>
      </c>
      <c r="J76" s="115"/>
      <c r="K76" s="115" t="s">
        <v>16</v>
      </c>
      <c r="L76" s="115" t="s">
        <v>378</v>
      </c>
      <c r="M76" s="114">
        <v>9200000</v>
      </c>
      <c r="N76" s="114">
        <v>9200000</v>
      </c>
      <c r="O76" s="114">
        <v>9200000</v>
      </c>
      <c r="P76" s="114">
        <v>9062306</v>
      </c>
      <c r="Q76" s="112" t="s">
        <v>407</v>
      </c>
    </row>
    <row r="77" spans="1:17" ht="17.7" customHeight="1">
      <c r="A77" s="111">
        <v>73</v>
      </c>
      <c r="B77" s="112">
        <v>906</v>
      </c>
      <c r="C77" s="112" t="s">
        <v>102</v>
      </c>
      <c r="D77" s="112" t="s">
        <v>26</v>
      </c>
      <c r="E77" s="112">
        <v>1728</v>
      </c>
      <c r="F77" s="113">
        <v>343620</v>
      </c>
      <c r="G77" s="114">
        <v>33.92</v>
      </c>
      <c r="H77" s="114">
        <v>33.92</v>
      </c>
      <c r="I77" s="115" t="s">
        <v>42</v>
      </c>
      <c r="J77" s="115"/>
      <c r="K77" s="115" t="s">
        <v>16</v>
      </c>
      <c r="L77" s="115" t="s">
        <v>378</v>
      </c>
      <c r="M77" s="114">
        <v>11580000</v>
      </c>
      <c r="N77" s="114">
        <v>11580000</v>
      </c>
      <c r="O77" s="114">
        <v>11655597</v>
      </c>
      <c r="P77" s="114">
        <v>11655597</v>
      </c>
      <c r="Q77" s="112" t="s">
        <v>408</v>
      </c>
    </row>
    <row r="78" spans="1:17" ht="17.7" customHeight="1">
      <c r="A78" s="111">
        <v>74</v>
      </c>
      <c r="B78" s="112">
        <v>907</v>
      </c>
      <c r="C78" s="112" t="s">
        <v>103</v>
      </c>
      <c r="D78" s="112" t="s">
        <v>28</v>
      </c>
      <c r="E78" s="112">
        <v>1728</v>
      </c>
      <c r="F78" s="113">
        <v>343642.61</v>
      </c>
      <c r="G78" s="114">
        <v>34.9</v>
      </c>
      <c r="H78" s="114">
        <v>34.92</v>
      </c>
      <c r="I78" s="115" t="s">
        <v>19</v>
      </c>
      <c r="J78" s="115" t="s">
        <v>530</v>
      </c>
      <c r="K78" s="115" t="s">
        <v>16</v>
      </c>
      <c r="L78" s="115" t="s">
        <v>378</v>
      </c>
      <c r="M78" s="114">
        <v>0</v>
      </c>
      <c r="N78" s="114">
        <v>12000000</v>
      </c>
      <c r="O78" s="114">
        <v>12000000</v>
      </c>
      <c r="P78" s="114">
        <v>0</v>
      </c>
    </row>
    <row r="79" spans="1:17" ht="16.95" customHeight="1">
      <c r="A79" s="111">
        <v>75</v>
      </c>
      <c r="B79" s="112">
        <v>908</v>
      </c>
      <c r="C79" s="112" t="s">
        <v>104</v>
      </c>
      <c r="D79" s="112" t="s">
        <v>30</v>
      </c>
      <c r="E79" s="112">
        <v>1728</v>
      </c>
      <c r="F79" s="113">
        <v>344667</v>
      </c>
      <c r="G79" s="114">
        <v>30.29</v>
      </c>
      <c r="H79" s="114">
        <v>30.29</v>
      </c>
      <c r="I79" s="115" t="s">
        <v>42</v>
      </c>
      <c r="J79" s="115"/>
      <c r="K79" s="115" t="s">
        <v>16</v>
      </c>
      <c r="L79" s="115" t="s">
        <v>378</v>
      </c>
      <c r="M79" s="114">
        <v>10340000</v>
      </c>
      <c r="N79" s="114">
        <v>10340000</v>
      </c>
      <c r="O79" s="114">
        <v>10439954</v>
      </c>
      <c r="P79" s="114">
        <v>10439954</v>
      </c>
      <c r="Q79" s="112" t="s">
        <v>409</v>
      </c>
    </row>
    <row r="80" spans="1:17" ht="16.95" customHeight="1">
      <c r="A80" s="111">
        <v>76</v>
      </c>
      <c r="B80" s="112">
        <v>909</v>
      </c>
      <c r="C80" s="112" t="s">
        <v>105</v>
      </c>
      <c r="D80" s="112" t="s">
        <v>28</v>
      </c>
      <c r="E80" s="112">
        <v>1728</v>
      </c>
      <c r="F80" s="113">
        <v>351575.93</v>
      </c>
      <c r="G80" s="114">
        <v>34.9</v>
      </c>
      <c r="H80" s="114">
        <v>34.9</v>
      </c>
      <c r="I80" s="115" t="s">
        <v>19</v>
      </c>
      <c r="J80" s="115" t="s">
        <v>530</v>
      </c>
      <c r="K80" s="115" t="s">
        <v>16</v>
      </c>
      <c r="L80" s="115" t="s">
        <v>378</v>
      </c>
      <c r="M80" s="114">
        <v>0</v>
      </c>
      <c r="N80" s="114">
        <v>12270000</v>
      </c>
      <c r="O80" s="114">
        <v>12270000</v>
      </c>
      <c r="P80" s="114">
        <v>0</v>
      </c>
    </row>
    <row r="81" spans="1:17" ht="17.7" customHeight="1">
      <c r="A81" s="111">
        <v>77</v>
      </c>
      <c r="B81" s="112">
        <v>910</v>
      </c>
      <c r="C81" s="112" t="s">
        <v>106</v>
      </c>
      <c r="D81" s="112" t="s">
        <v>33</v>
      </c>
      <c r="E81" s="112">
        <v>1728</v>
      </c>
      <c r="F81" s="113">
        <v>284483</v>
      </c>
      <c r="G81" s="114">
        <v>34.799999999999997</v>
      </c>
      <c r="H81" s="114">
        <v>34.799999999999997</v>
      </c>
      <c r="I81" s="115" t="s">
        <v>42</v>
      </c>
      <c r="J81" s="115"/>
      <c r="K81" s="115" t="s">
        <v>16</v>
      </c>
      <c r="L81" s="115" t="s">
        <v>378</v>
      </c>
      <c r="M81" s="114">
        <v>100000</v>
      </c>
      <c r="N81" s="114">
        <v>9900000</v>
      </c>
      <c r="O81" s="114">
        <v>9900000</v>
      </c>
      <c r="P81" s="114">
        <v>9762697</v>
      </c>
      <c r="Q81" s="112" t="s">
        <v>410</v>
      </c>
    </row>
    <row r="82" spans="1:17" ht="17.7" customHeight="1">
      <c r="A82" s="111">
        <v>78</v>
      </c>
      <c r="B82" s="112">
        <v>911</v>
      </c>
      <c r="C82" s="112" t="s">
        <v>107</v>
      </c>
      <c r="D82" s="112" t="s">
        <v>78</v>
      </c>
      <c r="E82" s="112">
        <v>1728</v>
      </c>
      <c r="F82" s="113">
        <v>338109</v>
      </c>
      <c r="G82" s="114">
        <v>34.9</v>
      </c>
      <c r="H82" s="114">
        <v>34.9</v>
      </c>
      <c r="I82" s="115" t="s">
        <v>42</v>
      </c>
      <c r="J82" s="115"/>
      <c r="K82" s="115" t="s">
        <v>16</v>
      </c>
      <c r="L82" s="115" t="s">
        <v>378</v>
      </c>
      <c r="M82" s="114">
        <v>11800000</v>
      </c>
      <c r="N82" s="114">
        <v>11800000</v>
      </c>
      <c r="O82" s="114">
        <v>11800000</v>
      </c>
      <c r="P82" s="114">
        <v>11800000</v>
      </c>
      <c r="Q82" s="112" t="s">
        <v>411</v>
      </c>
    </row>
    <row r="83" spans="1:17" ht="16.95" customHeight="1">
      <c r="A83" s="111">
        <v>79</v>
      </c>
      <c r="B83" s="112">
        <v>912</v>
      </c>
      <c r="C83" s="112" t="s">
        <v>108</v>
      </c>
      <c r="D83" s="112" t="s">
        <v>80</v>
      </c>
      <c r="E83" s="112">
        <v>1728</v>
      </c>
      <c r="F83" s="113">
        <v>338218</v>
      </c>
      <c r="G83" s="114">
        <v>34.93</v>
      </c>
      <c r="H83" s="114">
        <v>34.93</v>
      </c>
      <c r="I83" s="115" t="s">
        <v>42</v>
      </c>
      <c r="J83" s="115"/>
      <c r="K83" s="115" t="s">
        <v>16</v>
      </c>
      <c r="L83" s="115" t="s">
        <v>378</v>
      </c>
      <c r="M83" s="114">
        <v>11770000</v>
      </c>
      <c r="N83" s="114">
        <v>11770000</v>
      </c>
      <c r="O83" s="114">
        <v>11813969</v>
      </c>
      <c r="P83" s="114">
        <v>11813969</v>
      </c>
      <c r="Q83" s="112" t="s">
        <v>412</v>
      </c>
    </row>
    <row r="84" spans="1:17" ht="17.7" customHeight="1">
      <c r="A84" s="111">
        <v>80</v>
      </c>
      <c r="B84" s="112">
        <v>913</v>
      </c>
      <c r="C84" s="112" t="s">
        <v>109</v>
      </c>
      <c r="D84" s="112" t="s">
        <v>35</v>
      </c>
      <c r="E84" s="112">
        <v>1728</v>
      </c>
      <c r="F84" s="113">
        <v>345402</v>
      </c>
      <c r="G84" s="114">
        <v>34.799999999999997</v>
      </c>
      <c r="H84" s="114">
        <v>34.799999999999997</v>
      </c>
      <c r="I84" s="115" t="s">
        <v>42</v>
      </c>
      <c r="J84" s="115"/>
      <c r="K84" s="115" t="s">
        <v>16</v>
      </c>
      <c r="L84" s="115" t="s">
        <v>378</v>
      </c>
      <c r="M84" s="114">
        <v>12020000</v>
      </c>
      <c r="N84" s="114">
        <v>12020000</v>
      </c>
      <c r="O84" s="114">
        <v>12020000</v>
      </c>
      <c r="P84" s="114">
        <v>12020000</v>
      </c>
      <c r="Q84" s="112" t="s">
        <v>413</v>
      </c>
    </row>
    <row r="85" spans="1:17" ht="16.95" customHeight="1">
      <c r="A85" s="111">
        <v>81</v>
      </c>
      <c r="B85" s="112">
        <v>914</v>
      </c>
      <c r="C85" s="112" t="s">
        <v>110</v>
      </c>
      <c r="D85" s="112" t="s">
        <v>37</v>
      </c>
      <c r="E85" s="112">
        <v>1728</v>
      </c>
      <c r="F85" s="113">
        <v>341547</v>
      </c>
      <c r="G85" s="114">
        <v>34.9</v>
      </c>
      <c r="H85" s="114">
        <v>34.9</v>
      </c>
      <c r="I85" s="115" t="s">
        <v>42</v>
      </c>
      <c r="J85" s="115"/>
      <c r="K85" s="115" t="s">
        <v>16</v>
      </c>
      <c r="L85" s="115" t="s">
        <v>378</v>
      </c>
      <c r="M85" s="114">
        <v>11920000</v>
      </c>
      <c r="N85" s="114">
        <v>11920000</v>
      </c>
      <c r="O85" s="114">
        <v>11920000</v>
      </c>
      <c r="P85" s="114">
        <v>11920000</v>
      </c>
      <c r="Q85" s="112" t="s">
        <v>413</v>
      </c>
    </row>
    <row r="86" spans="1:17" ht="17.7" customHeight="1">
      <c r="A86" s="111">
        <v>82</v>
      </c>
      <c r="B86" s="112">
        <v>1001</v>
      </c>
      <c r="C86" s="112" t="s">
        <v>111</v>
      </c>
      <c r="D86" s="112" t="s">
        <v>24</v>
      </c>
      <c r="E86" s="112">
        <v>1728</v>
      </c>
      <c r="F86" s="113">
        <v>271661</v>
      </c>
      <c r="G86" s="114">
        <v>34.97</v>
      </c>
      <c r="H86" s="114">
        <v>34.97</v>
      </c>
      <c r="I86" s="115" t="s">
        <v>42</v>
      </c>
      <c r="J86" s="115"/>
      <c r="K86" s="115" t="s">
        <v>16</v>
      </c>
      <c r="L86" s="115" t="s">
        <v>378</v>
      </c>
      <c r="M86" s="114">
        <v>9500000</v>
      </c>
      <c r="N86" s="114">
        <v>9500000</v>
      </c>
      <c r="O86" s="114">
        <v>9500000</v>
      </c>
      <c r="P86" s="114">
        <v>9395988</v>
      </c>
      <c r="Q86" s="112" t="s">
        <v>414</v>
      </c>
    </row>
    <row r="87" spans="1:17" ht="17.7" customHeight="1">
      <c r="A87" s="111">
        <v>83</v>
      </c>
      <c r="B87" s="112">
        <v>1002</v>
      </c>
      <c r="C87" s="112" t="s">
        <v>112</v>
      </c>
      <c r="D87" s="112" t="s">
        <v>18</v>
      </c>
      <c r="E87" s="112">
        <v>1728</v>
      </c>
      <c r="F87" s="113">
        <v>278635</v>
      </c>
      <c r="G87" s="114">
        <v>33.92</v>
      </c>
      <c r="H87" s="114">
        <v>33.92</v>
      </c>
      <c r="I87" s="115" t="s">
        <v>42</v>
      </c>
      <c r="J87" s="115"/>
      <c r="K87" s="115" t="s">
        <v>16</v>
      </c>
      <c r="L87" s="115" t="s">
        <v>378</v>
      </c>
      <c r="M87" s="114">
        <v>9109000</v>
      </c>
      <c r="N87" s="114">
        <v>9390000</v>
      </c>
      <c r="O87" s="114">
        <v>9170300</v>
      </c>
      <c r="P87" s="114">
        <v>9035794</v>
      </c>
      <c r="Q87" s="112" t="s">
        <v>415</v>
      </c>
    </row>
    <row r="88" spans="1:17" ht="16.95" customHeight="1">
      <c r="A88" s="111">
        <v>84</v>
      </c>
      <c r="B88" s="112">
        <v>1003</v>
      </c>
      <c r="C88" s="112" t="s">
        <v>113</v>
      </c>
      <c r="D88" s="112" t="s">
        <v>21</v>
      </c>
      <c r="E88" s="112">
        <v>1728</v>
      </c>
      <c r="F88" s="113">
        <v>280802</v>
      </c>
      <c r="G88" s="114">
        <v>34.9</v>
      </c>
      <c r="H88" s="114">
        <v>34.9</v>
      </c>
      <c r="I88" s="115" t="s">
        <v>42</v>
      </c>
      <c r="J88" s="115"/>
      <c r="K88" s="115" t="s">
        <v>16</v>
      </c>
      <c r="L88" s="115" t="s">
        <v>378</v>
      </c>
      <c r="M88" s="114">
        <v>9506000</v>
      </c>
      <c r="N88" s="114">
        <v>9800000</v>
      </c>
      <c r="O88" s="114">
        <v>9506000</v>
      </c>
      <c r="P88" s="114">
        <v>9367643</v>
      </c>
      <c r="Q88" s="112" t="s">
        <v>416</v>
      </c>
    </row>
    <row r="89" spans="1:17" ht="17.7" customHeight="1">
      <c r="A89" s="111">
        <v>85</v>
      </c>
      <c r="B89" s="112">
        <v>1004</v>
      </c>
      <c r="C89" s="112" t="s">
        <v>114</v>
      </c>
      <c r="D89" s="112" t="s">
        <v>21</v>
      </c>
      <c r="E89" s="112">
        <v>1728</v>
      </c>
      <c r="F89" s="113">
        <v>280802</v>
      </c>
      <c r="G89" s="114">
        <v>34.9</v>
      </c>
      <c r="H89" s="114">
        <v>34.9</v>
      </c>
      <c r="I89" s="115" t="s">
        <v>42</v>
      </c>
      <c r="J89" s="115"/>
      <c r="K89" s="115" t="s">
        <v>16</v>
      </c>
      <c r="L89" s="115" t="s">
        <v>378</v>
      </c>
      <c r="M89" s="114">
        <v>9506000</v>
      </c>
      <c r="N89" s="114">
        <v>9800000</v>
      </c>
      <c r="O89" s="114">
        <v>9506000</v>
      </c>
      <c r="P89" s="114">
        <v>9368343</v>
      </c>
      <c r="Q89" s="112" t="s">
        <v>417</v>
      </c>
    </row>
    <row r="90" spans="1:17" ht="17.7" customHeight="1">
      <c r="A90" s="111">
        <v>86</v>
      </c>
      <c r="B90" s="112">
        <v>1005</v>
      </c>
      <c r="C90" s="112" t="s">
        <v>115</v>
      </c>
      <c r="D90" s="112" t="s">
        <v>24</v>
      </c>
      <c r="E90" s="112">
        <v>1728</v>
      </c>
      <c r="F90" s="113">
        <v>336962.75</v>
      </c>
      <c r="G90" s="114">
        <v>34.9</v>
      </c>
      <c r="H90" s="114">
        <v>34.9</v>
      </c>
      <c r="I90" s="115" t="s">
        <v>19</v>
      </c>
      <c r="J90" s="115" t="s">
        <v>532</v>
      </c>
      <c r="K90" s="115" t="s">
        <v>16</v>
      </c>
      <c r="L90" s="115" t="s">
        <v>378</v>
      </c>
      <c r="M90" s="114">
        <v>0</v>
      </c>
      <c r="N90" s="114">
        <v>11760000</v>
      </c>
      <c r="O90" s="114">
        <v>11760000</v>
      </c>
      <c r="P90" s="114">
        <v>0</v>
      </c>
    </row>
    <row r="91" spans="1:17" ht="16.95" customHeight="1">
      <c r="A91" s="111">
        <v>87</v>
      </c>
      <c r="B91" s="112">
        <v>1006</v>
      </c>
      <c r="C91" s="112" t="s">
        <v>116</v>
      </c>
      <c r="D91" s="112" t="s">
        <v>26</v>
      </c>
      <c r="E91" s="112">
        <v>1728</v>
      </c>
      <c r="F91" s="113">
        <v>341686.32</v>
      </c>
      <c r="G91" s="114">
        <v>33.700000000000003</v>
      </c>
      <c r="H91" s="114">
        <v>33.92</v>
      </c>
      <c r="I91" s="115" t="s">
        <v>19</v>
      </c>
      <c r="J91" s="115" t="s">
        <v>532</v>
      </c>
      <c r="K91" s="115" t="s">
        <v>16</v>
      </c>
      <c r="L91" s="115" t="s">
        <v>378</v>
      </c>
      <c r="M91" s="114">
        <v>0</v>
      </c>
      <c r="N91" s="114">
        <v>11590000</v>
      </c>
      <c r="O91" s="114">
        <v>11590000</v>
      </c>
      <c r="P91" s="114">
        <v>0</v>
      </c>
    </row>
    <row r="92" spans="1:17" ht="17.7" customHeight="1">
      <c r="A92" s="111">
        <v>88</v>
      </c>
      <c r="B92" s="112">
        <v>1007</v>
      </c>
      <c r="C92" s="112" t="s">
        <v>117</v>
      </c>
      <c r="D92" s="112" t="s">
        <v>28</v>
      </c>
      <c r="E92" s="112">
        <v>1728</v>
      </c>
      <c r="F92" s="113">
        <v>329324</v>
      </c>
      <c r="G92" s="114">
        <v>34.92</v>
      </c>
      <c r="H92" s="114">
        <v>34.92</v>
      </c>
      <c r="I92" s="115" t="s">
        <v>42</v>
      </c>
      <c r="J92" s="115"/>
      <c r="K92" s="115" t="s">
        <v>16</v>
      </c>
      <c r="L92" s="115" t="s">
        <v>378</v>
      </c>
      <c r="M92" s="114">
        <v>11500000</v>
      </c>
      <c r="N92" s="114">
        <v>11500000</v>
      </c>
      <c r="O92" s="114">
        <v>11500000</v>
      </c>
      <c r="P92" s="114">
        <v>11500000</v>
      </c>
      <c r="Q92" s="112" t="s">
        <v>418</v>
      </c>
    </row>
    <row r="93" spans="1:17" ht="16.95" customHeight="1">
      <c r="A93" s="111">
        <v>89</v>
      </c>
      <c r="B93" s="112">
        <v>1008</v>
      </c>
      <c r="C93" s="112" t="s">
        <v>118</v>
      </c>
      <c r="D93" s="112" t="s">
        <v>30</v>
      </c>
      <c r="E93" s="112">
        <v>1728</v>
      </c>
      <c r="F93" s="113">
        <v>290333</v>
      </c>
      <c r="G93" s="114">
        <v>30.29</v>
      </c>
      <c r="H93" s="114">
        <v>30.29</v>
      </c>
      <c r="I93" s="115" t="s">
        <v>42</v>
      </c>
      <c r="J93" s="115"/>
      <c r="K93" s="115" t="s">
        <v>16</v>
      </c>
      <c r="L93" s="115" t="s">
        <v>378</v>
      </c>
      <c r="M93" s="114">
        <v>8370000</v>
      </c>
      <c r="N93" s="114">
        <v>8710000</v>
      </c>
      <c r="O93" s="114">
        <v>8454197</v>
      </c>
      <c r="P93" s="114">
        <v>8333956</v>
      </c>
      <c r="Q93" s="112" t="s">
        <v>419</v>
      </c>
    </row>
    <row r="94" spans="1:17" ht="17.7" customHeight="1">
      <c r="A94" s="111">
        <v>90</v>
      </c>
      <c r="B94" s="112">
        <v>1009</v>
      </c>
      <c r="C94" s="112" t="s">
        <v>119</v>
      </c>
      <c r="D94" s="112" t="s">
        <v>28</v>
      </c>
      <c r="E94" s="112">
        <v>1728</v>
      </c>
      <c r="F94" s="113">
        <v>338395.42</v>
      </c>
      <c r="G94" s="114">
        <v>34.9</v>
      </c>
      <c r="H94" s="114">
        <v>34.9</v>
      </c>
      <c r="I94" s="115" t="s">
        <v>19</v>
      </c>
      <c r="J94" s="115" t="s">
        <v>532</v>
      </c>
      <c r="K94" s="115" t="s">
        <v>16</v>
      </c>
      <c r="L94" s="115" t="s">
        <v>378</v>
      </c>
      <c r="M94" s="114">
        <v>0</v>
      </c>
      <c r="N94" s="114">
        <v>11810000</v>
      </c>
      <c r="O94" s="114">
        <v>11810000</v>
      </c>
      <c r="P94" s="114">
        <v>0</v>
      </c>
    </row>
    <row r="95" spans="1:17" ht="17.7" customHeight="1">
      <c r="A95" s="111">
        <v>91</v>
      </c>
      <c r="B95" s="112">
        <v>1010</v>
      </c>
      <c r="C95" s="112" t="s">
        <v>120</v>
      </c>
      <c r="D95" s="112" t="s">
        <v>33</v>
      </c>
      <c r="E95" s="112">
        <v>1728</v>
      </c>
      <c r="F95" s="113">
        <v>284483</v>
      </c>
      <c r="G95" s="114">
        <v>34.799999999999997</v>
      </c>
      <c r="H95" s="114">
        <v>34.799999999999997</v>
      </c>
      <c r="I95" s="115" t="s">
        <v>42</v>
      </c>
      <c r="J95" s="115"/>
      <c r="K95" s="115" t="s">
        <v>16</v>
      </c>
      <c r="L95" s="115" t="s">
        <v>378</v>
      </c>
      <c r="M95" s="114">
        <v>399055</v>
      </c>
      <c r="N95" s="114">
        <v>9900000</v>
      </c>
      <c r="O95" s="114">
        <v>9900000</v>
      </c>
      <c r="P95" s="114">
        <v>9762036</v>
      </c>
      <c r="Q95" s="112" t="s">
        <v>420</v>
      </c>
    </row>
    <row r="96" spans="1:17" ht="16.95" customHeight="1">
      <c r="A96" s="111">
        <v>92</v>
      </c>
      <c r="B96" s="112">
        <v>1011</v>
      </c>
      <c r="C96" s="112" t="s">
        <v>121</v>
      </c>
      <c r="D96" s="112" t="s">
        <v>78</v>
      </c>
      <c r="E96" s="112">
        <v>1728</v>
      </c>
      <c r="F96" s="113">
        <v>336389.68</v>
      </c>
      <c r="G96" s="114">
        <v>34.9</v>
      </c>
      <c r="H96" s="114">
        <v>34.9</v>
      </c>
      <c r="I96" s="115" t="s">
        <v>19</v>
      </c>
      <c r="J96" s="115" t="s">
        <v>532</v>
      </c>
      <c r="K96" s="115" t="s">
        <v>16</v>
      </c>
      <c r="L96" s="115" t="s">
        <v>378</v>
      </c>
      <c r="M96" s="114">
        <v>0</v>
      </c>
      <c r="N96" s="114">
        <v>11740000</v>
      </c>
      <c r="O96" s="114">
        <v>11740000</v>
      </c>
      <c r="P96" s="114">
        <v>0</v>
      </c>
    </row>
    <row r="97" spans="1:17" ht="17.7" customHeight="1">
      <c r="A97" s="111">
        <v>93</v>
      </c>
      <c r="B97" s="112">
        <v>1012</v>
      </c>
      <c r="C97" s="112" t="s">
        <v>122</v>
      </c>
      <c r="D97" s="112" t="s">
        <v>80</v>
      </c>
      <c r="E97" s="112">
        <v>1728</v>
      </c>
      <c r="F97" s="113">
        <v>280172</v>
      </c>
      <c r="G97" s="114">
        <v>34.93</v>
      </c>
      <c r="H97" s="114">
        <v>34.93</v>
      </c>
      <c r="I97" s="115" t="s">
        <v>42</v>
      </c>
      <c r="J97" s="115"/>
      <c r="K97" s="115" t="s">
        <v>16</v>
      </c>
      <c r="L97" s="115" t="s">
        <v>378</v>
      </c>
      <c r="M97" s="114">
        <v>9458000</v>
      </c>
      <c r="N97" s="114">
        <v>9750000</v>
      </c>
      <c r="O97" s="114">
        <v>9494423</v>
      </c>
      <c r="P97" s="114">
        <v>9355947</v>
      </c>
      <c r="Q97" s="112" t="s">
        <v>421</v>
      </c>
    </row>
    <row r="98" spans="1:17" ht="17.7" customHeight="1">
      <c r="A98" s="111">
        <v>94</v>
      </c>
      <c r="B98" s="112">
        <v>1013</v>
      </c>
      <c r="C98" s="112" t="s">
        <v>123</v>
      </c>
      <c r="D98" s="112" t="s">
        <v>35</v>
      </c>
      <c r="E98" s="112">
        <v>1728</v>
      </c>
      <c r="F98" s="113">
        <v>279023</v>
      </c>
      <c r="G98" s="114">
        <v>34.799999999999997</v>
      </c>
      <c r="H98" s="114">
        <v>34.799999999999997</v>
      </c>
      <c r="I98" s="115" t="s">
        <v>42</v>
      </c>
      <c r="J98" s="115"/>
      <c r="K98" s="115" t="s">
        <v>16</v>
      </c>
      <c r="L98" s="115" t="s">
        <v>378</v>
      </c>
      <c r="M98" s="114">
        <v>9419000</v>
      </c>
      <c r="N98" s="114">
        <v>9710000</v>
      </c>
      <c r="O98" s="114">
        <v>9419000</v>
      </c>
      <c r="P98" s="114">
        <v>9281036</v>
      </c>
      <c r="Q98" s="112" t="s">
        <v>422</v>
      </c>
    </row>
    <row r="99" spans="1:17" ht="16.95" customHeight="1">
      <c r="A99" s="111">
        <v>95</v>
      </c>
      <c r="B99" s="112">
        <v>1014</v>
      </c>
      <c r="C99" s="112" t="s">
        <v>124</v>
      </c>
      <c r="D99" s="112" t="s">
        <v>37</v>
      </c>
      <c r="E99" s="112">
        <v>1728</v>
      </c>
      <c r="F99" s="113">
        <v>331232.09000000003</v>
      </c>
      <c r="G99" s="114">
        <v>34.9</v>
      </c>
      <c r="H99" s="114">
        <v>34.9</v>
      </c>
      <c r="I99" s="115" t="s">
        <v>19</v>
      </c>
      <c r="J99" s="115" t="s">
        <v>532</v>
      </c>
      <c r="K99" s="115" t="s">
        <v>16</v>
      </c>
      <c r="L99" s="115" t="s">
        <v>378</v>
      </c>
      <c r="M99" s="114">
        <v>0</v>
      </c>
      <c r="N99" s="114">
        <v>11560000</v>
      </c>
      <c r="O99" s="114">
        <v>11560000</v>
      </c>
      <c r="P99" s="114">
        <v>0</v>
      </c>
    </row>
    <row r="100" spans="1:17" ht="17.7" customHeight="1">
      <c r="A100" s="111">
        <v>96</v>
      </c>
      <c r="B100" s="112">
        <v>1101</v>
      </c>
      <c r="C100" s="112" t="s">
        <v>125</v>
      </c>
      <c r="D100" s="112" t="s">
        <v>15</v>
      </c>
      <c r="E100" s="112">
        <v>1728</v>
      </c>
      <c r="F100" s="113">
        <v>281089</v>
      </c>
      <c r="G100" s="114">
        <v>34.97</v>
      </c>
      <c r="H100" s="114">
        <v>34.97</v>
      </c>
      <c r="I100" s="115" t="s">
        <v>42</v>
      </c>
      <c r="J100" s="115"/>
      <c r="K100" s="115" t="s">
        <v>16</v>
      </c>
      <c r="L100" s="115" t="s">
        <v>378</v>
      </c>
      <c r="M100" s="114">
        <v>9516000</v>
      </c>
      <c r="N100" s="114">
        <v>9810000</v>
      </c>
      <c r="O100" s="114">
        <v>9535677</v>
      </c>
      <c r="P100" s="114">
        <v>9397115</v>
      </c>
      <c r="Q100" s="112" t="s">
        <v>423</v>
      </c>
    </row>
    <row r="101" spans="1:17" ht="16.95" customHeight="1">
      <c r="A101" s="111">
        <v>97</v>
      </c>
      <c r="B101" s="112">
        <v>1102</v>
      </c>
      <c r="C101" s="112" t="s">
        <v>126</v>
      </c>
      <c r="D101" s="112" t="s">
        <v>18</v>
      </c>
      <c r="E101" s="112">
        <v>1728</v>
      </c>
      <c r="F101" s="113">
        <v>301821</v>
      </c>
      <c r="G101" s="114">
        <v>33.92</v>
      </c>
      <c r="H101" s="114">
        <v>33.92</v>
      </c>
      <c r="I101" s="115" t="s">
        <v>42</v>
      </c>
      <c r="J101" s="115"/>
      <c r="K101" s="115" t="s">
        <v>16</v>
      </c>
      <c r="L101" s="115" t="s">
        <v>378</v>
      </c>
      <c r="M101" s="114">
        <v>10237760</v>
      </c>
      <c r="N101" s="114">
        <v>10237760</v>
      </c>
      <c r="O101" s="114">
        <v>10237760</v>
      </c>
      <c r="P101" s="114">
        <v>10102643</v>
      </c>
      <c r="Q101" s="112" t="s">
        <v>424</v>
      </c>
    </row>
    <row r="102" spans="1:17" ht="17.7" customHeight="1">
      <c r="A102" s="111">
        <v>98</v>
      </c>
      <c r="B102" s="112">
        <v>1103</v>
      </c>
      <c r="C102" s="112" t="s">
        <v>127</v>
      </c>
      <c r="D102" s="112" t="s">
        <v>21</v>
      </c>
      <c r="E102" s="112">
        <v>1728</v>
      </c>
      <c r="F102" s="113">
        <v>301570</v>
      </c>
      <c r="G102" s="114">
        <v>34.9</v>
      </c>
      <c r="H102" s="114">
        <v>34.9</v>
      </c>
      <c r="I102" s="115" t="s">
        <v>42</v>
      </c>
      <c r="J102" s="115"/>
      <c r="K102" s="115" t="s">
        <v>16</v>
      </c>
      <c r="L102" s="115" t="s">
        <v>378</v>
      </c>
      <c r="M102" s="114">
        <v>10524800</v>
      </c>
      <c r="N102" s="114">
        <v>10524800</v>
      </c>
      <c r="O102" s="114">
        <v>10524800</v>
      </c>
      <c r="P102" s="114">
        <v>10385814</v>
      </c>
      <c r="Q102" s="112" t="s">
        <v>424</v>
      </c>
    </row>
    <row r="103" spans="1:17" ht="17.7" customHeight="1">
      <c r="A103" s="111">
        <v>99</v>
      </c>
      <c r="B103" s="112">
        <v>1104</v>
      </c>
      <c r="C103" s="112" t="s">
        <v>128</v>
      </c>
      <c r="D103" s="112" t="s">
        <v>21</v>
      </c>
      <c r="E103" s="112">
        <v>1728</v>
      </c>
      <c r="F103" s="113">
        <v>301570</v>
      </c>
      <c r="G103" s="114">
        <v>34.9</v>
      </c>
      <c r="H103" s="114">
        <v>34.9</v>
      </c>
      <c r="I103" s="115" t="s">
        <v>42</v>
      </c>
      <c r="J103" s="115"/>
      <c r="K103" s="115" t="s">
        <v>16</v>
      </c>
      <c r="L103" s="115" t="s">
        <v>378</v>
      </c>
      <c r="M103" s="114">
        <v>10524800</v>
      </c>
      <c r="N103" s="114">
        <v>10524800</v>
      </c>
      <c r="O103" s="114">
        <v>10524800</v>
      </c>
      <c r="P103" s="114">
        <v>10385814</v>
      </c>
      <c r="Q103" s="112" t="s">
        <v>424</v>
      </c>
    </row>
    <row r="104" spans="1:17" ht="16.95" customHeight="1">
      <c r="A104" s="111">
        <v>100</v>
      </c>
      <c r="B104" s="112">
        <v>1105</v>
      </c>
      <c r="C104" s="112" t="s">
        <v>129</v>
      </c>
      <c r="D104" s="112" t="s">
        <v>24</v>
      </c>
      <c r="E104" s="112">
        <v>1728</v>
      </c>
      <c r="F104" s="113">
        <v>301570</v>
      </c>
      <c r="G104" s="114">
        <v>34.9</v>
      </c>
      <c r="H104" s="114">
        <v>34.9</v>
      </c>
      <c r="I104" s="115" t="s">
        <v>42</v>
      </c>
      <c r="J104" s="115"/>
      <c r="K104" s="115" t="s">
        <v>16</v>
      </c>
      <c r="L104" s="115" t="s">
        <v>378</v>
      </c>
      <c r="M104" s="114">
        <v>10524800</v>
      </c>
      <c r="N104" s="114">
        <v>10524800</v>
      </c>
      <c r="O104" s="114">
        <v>10524800</v>
      </c>
      <c r="P104" s="114">
        <v>10385814</v>
      </c>
      <c r="Q104" s="112" t="s">
        <v>424</v>
      </c>
    </row>
    <row r="105" spans="1:17" ht="16.95" customHeight="1">
      <c r="A105" s="111">
        <v>101</v>
      </c>
      <c r="B105" s="112">
        <v>1106</v>
      </c>
      <c r="C105" s="112" t="s">
        <v>130</v>
      </c>
      <c r="D105" s="112" t="s">
        <v>26</v>
      </c>
      <c r="E105" s="112">
        <v>1728</v>
      </c>
      <c r="F105" s="113">
        <v>301821</v>
      </c>
      <c r="G105" s="114">
        <v>33.92</v>
      </c>
      <c r="H105" s="114">
        <v>33.92</v>
      </c>
      <c r="I105" s="115" t="s">
        <v>42</v>
      </c>
      <c r="J105" s="115"/>
      <c r="K105" s="115" t="s">
        <v>16</v>
      </c>
      <c r="L105" s="115" t="s">
        <v>378</v>
      </c>
      <c r="M105" s="114">
        <v>10237760</v>
      </c>
      <c r="N105" s="114">
        <v>10237760</v>
      </c>
      <c r="O105" s="114">
        <v>10237760</v>
      </c>
      <c r="P105" s="114">
        <v>10102643</v>
      </c>
      <c r="Q105" s="112" t="s">
        <v>424</v>
      </c>
    </row>
    <row r="106" spans="1:17" ht="17.7" customHeight="1">
      <c r="A106" s="111">
        <v>102</v>
      </c>
      <c r="B106" s="112">
        <v>1107</v>
      </c>
      <c r="C106" s="112" t="s">
        <v>131</v>
      </c>
      <c r="D106" s="112" t="s">
        <v>28</v>
      </c>
      <c r="E106" s="112">
        <v>1728</v>
      </c>
      <c r="F106" s="113">
        <v>268997</v>
      </c>
      <c r="G106" s="114">
        <v>34.92</v>
      </c>
      <c r="H106" s="114">
        <v>34.92</v>
      </c>
      <c r="I106" s="115" t="s">
        <v>42</v>
      </c>
      <c r="J106" s="115"/>
      <c r="K106" s="115" t="s">
        <v>16</v>
      </c>
      <c r="L106" s="115" t="s">
        <v>378</v>
      </c>
      <c r="M106" s="114">
        <v>9388000</v>
      </c>
      <c r="N106" s="114">
        <v>9830000</v>
      </c>
      <c r="O106" s="114">
        <v>9393380</v>
      </c>
      <c r="P106" s="114">
        <v>9254315.4000000004</v>
      </c>
      <c r="Q106" s="112" t="s">
        <v>425</v>
      </c>
    </row>
    <row r="107" spans="1:17" ht="17.7" customHeight="1">
      <c r="A107" s="111">
        <v>103</v>
      </c>
      <c r="B107" s="112">
        <v>1108</v>
      </c>
      <c r="C107" s="112" t="s">
        <v>132</v>
      </c>
      <c r="D107" s="112" t="s">
        <v>30</v>
      </c>
      <c r="E107" s="112">
        <v>1728</v>
      </c>
      <c r="F107" s="113">
        <v>286333</v>
      </c>
      <c r="G107" s="114">
        <v>30.29</v>
      </c>
      <c r="H107" s="114">
        <v>30.29</v>
      </c>
      <c r="I107" s="115" t="s">
        <v>42</v>
      </c>
      <c r="J107" s="115"/>
      <c r="K107" s="115" t="s">
        <v>16</v>
      </c>
      <c r="L107" s="115" t="s">
        <v>378</v>
      </c>
      <c r="M107" s="114">
        <v>8204000</v>
      </c>
      <c r="N107" s="114">
        <v>8590000</v>
      </c>
      <c r="O107" s="114">
        <v>8287037</v>
      </c>
      <c r="P107" s="114">
        <v>8166251</v>
      </c>
      <c r="Q107" s="112" t="s">
        <v>426</v>
      </c>
    </row>
    <row r="108" spans="1:17" ht="16.95" customHeight="1">
      <c r="A108" s="111">
        <v>104</v>
      </c>
      <c r="B108" s="112">
        <v>1109</v>
      </c>
      <c r="C108" s="112" t="s">
        <v>133</v>
      </c>
      <c r="D108" s="112" t="s">
        <v>28</v>
      </c>
      <c r="E108" s="112">
        <v>1728</v>
      </c>
      <c r="F108" s="113">
        <v>340115</v>
      </c>
      <c r="G108" s="114">
        <v>34.9</v>
      </c>
      <c r="H108" s="114">
        <v>34.9</v>
      </c>
      <c r="I108" s="115" t="s">
        <v>42</v>
      </c>
      <c r="J108" s="115"/>
      <c r="K108" s="115" t="s">
        <v>16</v>
      </c>
      <c r="L108" s="115" t="s">
        <v>378</v>
      </c>
      <c r="M108" s="114">
        <v>9400000</v>
      </c>
      <c r="N108" s="114">
        <v>11870000</v>
      </c>
      <c r="O108" s="114">
        <v>9400000</v>
      </c>
      <c r="P108" s="114">
        <v>9261014</v>
      </c>
      <c r="Q108" s="112" t="s">
        <v>427</v>
      </c>
    </row>
    <row r="109" spans="1:17" ht="17.7" customHeight="1">
      <c r="A109" s="111">
        <v>105</v>
      </c>
      <c r="B109" s="112">
        <v>1110</v>
      </c>
      <c r="C109" s="112" t="s">
        <v>134</v>
      </c>
      <c r="D109" s="112" t="s">
        <v>33</v>
      </c>
      <c r="E109" s="112">
        <v>1728</v>
      </c>
      <c r="F109" s="113">
        <v>312598</v>
      </c>
      <c r="G109" s="114">
        <v>34.799999999999997</v>
      </c>
      <c r="H109" s="114">
        <v>34.799999999999997</v>
      </c>
      <c r="I109" s="115" t="s">
        <v>42</v>
      </c>
      <c r="J109" s="115"/>
      <c r="K109" s="115" t="s">
        <v>16</v>
      </c>
      <c r="L109" s="115" t="s">
        <v>378</v>
      </c>
      <c r="M109" s="114">
        <v>10878400</v>
      </c>
      <c r="N109" s="114">
        <v>10878400</v>
      </c>
      <c r="O109" s="114">
        <v>10878400</v>
      </c>
      <c r="P109" s="114">
        <v>10774261</v>
      </c>
      <c r="Q109" s="112" t="s">
        <v>428</v>
      </c>
    </row>
    <row r="110" spans="1:17" ht="16.95" customHeight="1">
      <c r="A110" s="111">
        <v>106</v>
      </c>
      <c r="B110" s="112">
        <v>1111</v>
      </c>
      <c r="C110" s="112" t="s">
        <v>135</v>
      </c>
      <c r="D110" s="112" t="s">
        <v>78</v>
      </c>
      <c r="E110" s="112">
        <v>1728</v>
      </c>
      <c r="F110" s="113">
        <v>285043</v>
      </c>
      <c r="G110" s="114">
        <v>34.9</v>
      </c>
      <c r="H110" s="114">
        <v>34.9</v>
      </c>
      <c r="I110" s="115" t="s">
        <v>42</v>
      </c>
      <c r="J110" s="115"/>
      <c r="K110" s="115" t="s">
        <v>16</v>
      </c>
      <c r="L110" s="115" t="s">
        <v>378</v>
      </c>
      <c r="M110" s="114">
        <v>9448000</v>
      </c>
      <c r="N110" s="114">
        <v>9948000</v>
      </c>
      <c r="O110" s="114">
        <v>9448000</v>
      </c>
      <c r="P110" s="114">
        <v>9309014</v>
      </c>
      <c r="Q110" s="112" t="s">
        <v>429</v>
      </c>
    </row>
    <row r="111" spans="1:17" ht="17.7" customHeight="1">
      <c r="A111" s="111">
        <v>107</v>
      </c>
      <c r="B111" s="112">
        <v>1112</v>
      </c>
      <c r="C111" s="112" t="s">
        <v>136</v>
      </c>
      <c r="D111" s="112" t="s">
        <v>80</v>
      </c>
      <c r="E111" s="112">
        <v>1728</v>
      </c>
      <c r="F111" s="113">
        <v>269195</v>
      </c>
      <c r="G111" s="114">
        <v>34.93</v>
      </c>
      <c r="H111" s="114">
        <v>34.93</v>
      </c>
      <c r="I111" s="115" t="s">
        <v>42</v>
      </c>
      <c r="J111" s="115"/>
      <c r="K111" s="115" t="s">
        <v>16</v>
      </c>
      <c r="L111" s="115" t="s">
        <v>378</v>
      </c>
      <c r="M111" s="114">
        <v>9368000</v>
      </c>
      <c r="N111" s="114">
        <v>9810000</v>
      </c>
      <c r="O111" s="114">
        <v>9402996</v>
      </c>
      <c r="P111" s="114">
        <v>9263891</v>
      </c>
      <c r="Q111" s="112" t="s">
        <v>430</v>
      </c>
    </row>
    <row r="112" spans="1:17" ht="17.7" customHeight="1">
      <c r="A112" s="111">
        <v>108</v>
      </c>
      <c r="B112" s="112">
        <v>1113</v>
      </c>
      <c r="C112" s="112" t="s">
        <v>137</v>
      </c>
      <c r="D112" s="112" t="s">
        <v>35</v>
      </c>
      <c r="E112" s="112">
        <v>1728</v>
      </c>
      <c r="F112" s="113">
        <v>280747</v>
      </c>
      <c r="G112" s="114">
        <v>34.799999999999997</v>
      </c>
      <c r="H112" s="114">
        <v>34.799999999999997</v>
      </c>
      <c r="I112" s="115" t="s">
        <v>42</v>
      </c>
      <c r="J112" s="115"/>
      <c r="K112" s="115" t="s">
        <v>16</v>
      </c>
      <c r="L112" s="115" t="s">
        <v>378</v>
      </c>
      <c r="M112" s="114">
        <v>9331000</v>
      </c>
      <c r="N112" s="114">
        <v>9770000</v>
      </c>
      <c r="O112" s="114">
        <v>9331000</v>
      </c>
      <c r="P112" s="114">
        <v>9192409</v>
      </c>
      <c r="Q112" s="112" t="s">
        <v>431</v>
      </c>
    </row>
    <row r="113" spans="1:17" ht="16.95" customHeight="1">
      <c r="A113" s="111">
        <v>109</v>
      </c>
      <c r="B113" s="112">
        <v>1114</v>
      </c>
      <c r="C113" s="112" t="s">
        <v>138</v>
      </c>
      <c r="D113" s="112" t="s">
        <v>37</v>
      </c>
      <c r="E113" s="112">
        <v>1728</v>
      </c>
      <c r="F113" s="113">
        <v>277364</v>
      </c>
      <c r="G113" s="114">
        <v>34.9</v>
      </c>
      <c r="H113" s="114">
        <v>34.9</v>
      </c>
      <c r="I113" s="115" t="s">
        <v>42</v>
      </c>
      <c r="J113" s="115"/>
      <c r="K113" s="115" t="s">
        <v>16</v>
      </c>
      <c r="L113" s="115" t="s">
        <v>378</v>
      </c>
      <c r="M113" s="114">
        <v>9400000</v>
      </c>
      <c r="N113" s="114">
        <v>9680000</v>
      </c>
      <c r="O113" s="114">
        <v>9400000</v>
      </c>
      <c r="P113" s="114">
        <v>9261014</v>
      </c>
      <c r="Q113" s="112" t="s">
        <v>432</v>
      </c>
    </row>
    <row r="114" spans="1:17" ht="17.7" customHeight="1">
      <c r="A114" s="111">
        <v>110</v>
      </c>
      <c r="B114" s="112">
        <v>1201</v>
      </c>
      <c r="C114" s="112" t="s">
        <v>139</v>
      </c>
      <c r="D114" s="112" t="s">
        <v>15</v>
      </c>
      <c r="E114" s="112">
        <v>1728</v>
      </c>
      <c r="F114" s="113">
        <v>314468</v>
      </c>
      <c r="G114" s="114">
        <v>34.97</v>
      </c>
      <c r="H114" s="114">
        <v>34.97</v>
      </c>
      <c r="I114" s="115" t="s">
        <v>42</v>
      </c>
      <c r="J114" s="115"/>
      <c r="K114" s="115" t="s">
        <v>16</v>
      </c>
      <c r="L114" s="115" t="s">
        <v>378</v>
      </c>
      <c r="M114" s="114">
        <v>10996960</v>
      </c>
      <c r="N114" s="114">
        <v>10996960</v>
      </c>
      <c r="O114" s="114">
        <v>10996960</v>
      </c>
      <c r="P114" s="114">
        <v>10857068</v>
      </c>
      <c r="Q114" s="112" t="s">
        <v>433</v>
      </c>
    </row>
    <row r="115" spans="1:17" ht="17.7" customHeight="1">
      <c r="A115" s="111">
        <v>111</v>
      </c>
      <c r="B115" s="112">
        <v>1202</v>
      </c>
      <c r="C115" s="112" t="s">
        <v>140</v>
      </c>
      <c r="D115" s="112" t="s">
        <v>18</v>
      </c>
      <c r="E115" s="112">
        <v>1728</v>
      </c>
      <c r="F115" s="113">
        <v>301821</v>
      </c>
      <c r="G115" s="114">
        <v>33.92</v>
      </c>
      <c r="H115" s="114">
        <v>33.92</v>
      </c>
      <c r="I115" s="115" t="s">
        <v>42</v>
      </c>
      <c r="J115" s="115"/>
      <c r="K115" s="115" t="s">
        <v>16</v>
      </c>
      <c r="L115" s="115" t="s">
        <v>378</v>
      </c>
      <c r="M115" s="114">
        <v>10237760</v>
      </c>
      <c r="N115" s="114">
        <v>10237760</v>
      </c>
      <c r="O115" s="114">
        <v>10237760</v>
      </c>
      <c r="P115" s="114">
        <v>10102032</v>
      </c>
      <c r="Q115" s="112" t="s">
        <v>433</v>
      </c>
    </row>
    <row r="116" spans="1:17" ht="16.95" customHeight="1">
      <c r="A116" s="111">
        <v>112</v>
      </c>
      <c r="B116" s="112">
        <v>1203</v>
      </c>
      <c r="C116" s="112" t="s">
        <v>141</v>
      </c>
      <c r="D116" s="112" t="s">
        <v>21</v>
      </c>
      <c r="E116" s="112">
        <v>1728</v>
      </c>
      <c r="F116" s="113">
        <v>353009</v>
      </c>
      <c r="G116" s="114">
        <v>34.9</v>
      </c>
      <c r="H116" s="114">
        <v>34.9</v>
      </c>
      <c r="I116" s="115" t="s">
        <v>42</v>
      </c>
      <c r="J116" s="115"/>
      <c r="K116" s="115" t="s">
        <v>16</v>
      </c>
      <c r="L116" s="115" t="s">
        <v>378</v>
      </c>
      <c r="M116" s="114">
        <v>12320000</v>
      </c>
      <c r="N116" s="114">
        <v>12320000</v>
      </c>
      <c r="O116" s="114">
        <v>12320000</v>
      </c>
      <c r="P116" s="114">
        <v>12320000</v>
      </c>
      <c r="Q116" s="112" t="s">
        <v>434</v>
      </c>
    </row>
    <row r="117" spans="1:17" ht="17.7" customHeight="1">
      <c r="A117" s="111">
        <v>113</v>
      </c>
      <c r="B117" s="112">
        <v>1204</v>
      </c>
      <c r="C117" s="112" t="s">
        <v>142</v>
      </c>
      <c r="D117" s="112" t="s">
        <v>21</v>
      </c>
      <c r="E117" s="112">
        <v>1728</v>
      </c>
      <c r="F117" s="113">
        <v>301570</v>
      </c>
      <c r="G117" s="114">
        <v>34.9</v>
      </c>
      <c r="H117" s="114">
        <v>34.9</v>
      </c>
      <c r="I117" s="115" t="s">
        <v>42</v>
      </c>
      <c r="J117" s="115"/>
      <c r="K117" s="115" t="s">
        <v>16</v>
      </c>
      <c r="L117" s="115" t="s">
        <v>378</v>
      </c>
      <c r="M117" s="114">
        <v>10524800</v>
      </c>
      <c r="N117" s="114">
        <v>10524800</v>
      </c>
      <c r="O117" s="114">
        <v>10524800</v>
      </c>
      <c r="P117" s="114">
        <v>10385186</v>
      </c>
      <c r="Q117" s="112" t="s">
        <v>433</v>
      </c>
    </row>
    <row r="118" spans="1:17" ht="16.95" customHeight="1">
      <c r="A118" s="111">
        <v>114</v>
      </c>
      <c r="B118" s="112">
        <v>1205</v>
      </c>
      <c r="C118" s="112" t="s">
        <v>143</v>
      </c>
      <c r="D118" s="112" t="s">
        <v>24</v>
      </c>
      <c r="E118" s="112">
        <v>1728</v>
      </c>
      <c r="F118" s="113">
        <v>301570</v>
      </c>
      <c r="G118" s="114">
        <v>34.9</v>
      </c>
      <c r="H118" s="114">
        <v>34.9</v>
      </c>
      <c r="I118" s="115" t="s">
        <v>42</v>
      </c>
      <c r="J118" s="115"/>
      <c r="K118" s="115" t="s">
        <v>16</v>
      </c>
      <c r="L118" s="115" t="s">
        <v>378</v>
      </c>
      <c r="M118" s="114">
        <v>10524800</v>
      </c>
      <c r="N118" s="114">
        <v>10524800</v>
      </c>
      <c r="O118" s="114">
        <v>10524800</v>
      </c>
      <c r="P118" s="114">
        <v>10385186</v>
      </c>
      <c r="Q118" s="112" t="s">
        <v>433</v>
      </c>
    </row>
    <row r="119" spans="1:17" ht="17.7" customHeight="1">
      <c r="A119" s="111">
        <v>115</v>
      </c>
      <c r="B119" s="112">
        <v>1206</v>
      </c>
      <c r="C119" s="112" t="s">
        <v>144</v>
      </c>
      <c r="D119" s="112" t="s">
        <v>26</v>
      </c>
      <c r="E119" s="112">
        <v>1728</v>
      </c>
      <c r="F119" s="113">
        <v>301821</v>
      </c>
      <c r="G119" s="114">
        <v>33.92</v>
      </c>
      <c r="H119" s="114">
        <v>33.92</v>
      </c>
      <c r="I119" s="115" t="s">
        <v>42</v>
      </c>
      <c r="J119" s="115"/>
      <c r="K119" s="115" t="s">
        <v>16</v>
      </c>
      <c r="L119" s="115" t="s">
        <v>378</v>
      </c>
      <c r="M119" s="114">
        <v>10237760</v>
      </c>
      <c r="N119" s="114">
        <v>10237760</v>
      </c>
      <c r="O119" s="114">
        <v>10237760</v>
      </c>
      <c r="P119" s="114">
        <v>10102032</v>
      </c>
      <c r="Q119" s="112" t="s">
        <v>433</v>
      </c>
    </row>
    <row r="120" spans="1:17" ht="17.7" customHeight="1">
      <c r="A120" s="111">
        <v>116</v>
      </c>
      <c r="B120" s="112">
        <v>1207</v>
      </c>
      <c r="C120" s="112" t="s">
        <v>145</v>
      </c>
      <c r="D120" s="112" t="s">
        <v>28</v>
      </c>
      <c r="E120" s="112">
        <v>1728</v>
      </c>
      <c r="F120" s="113">
        <v>342407</v>
      </c>
      <c r="G120" s="114">
        <v>34.92</v>
      </c>
      <c r="H120" s="114">
        <v>34.92</v>
      </c>
      <c r="I120" s="115" t="s">
        <v>42</v>
      </c>
      <c r="J120" s="115"/>
      <c r="K120" s="115" t="s">
        <v>16</v>
      </c>
      <c r="L120" s="115" t="s">
        <v>378</v>
      </c>
      <c r="M120" s="114">
        <v>11950000</v>
      </c>
      <c r="N120" s="114">
        <v>11950000</v>
      </c>
      <c r="O120" s="114">
        <v>11956849</v>
      </c>
      <c r="P120" s="114">
        <v>11919135</v>
      </c>
      <c r="Q120" s="112" t="s">
        <v>397</v>
      </c>
    </row>
    <row r="121" spans="1:17" ht="16.95" customHeight="1">
      <c r="A121" s="111">
        <v>117</v>
      </c>
      <c r="B121" s="112">
        <v>1208</v>
      </c>
      <c r="C121" s="112" t="s">
        <v>146</v>
      </c>
      <c r="D121" s="112" t="s">
        <v>30</v>
      </c>
      <c r="E121" s="112">
        <v>1728</v>
      </c>
      <c r="F121" s="113">
        <v>313064</v>
      </c>
      <c r="G121" s="114">
        <v>30.29</v>
      </c>
      <c r="H121" s="114">
        <v>30.29</v>
      </c>
      <c r="I121" s="115" t="s">
        <v>42</v>
      </c>
      <c r="J121" s="115"/>
      <c r="K121" s="115" t="s">
        <v>16</v>
      </c>
      <c r="L121" s="115" t="s">
        <v>378</v>
      </c>
      <c r="M121" s="114">
        <v>9482720</v>
      </c>
      <c r="N121" s="114">
        <v>9482720</v>
      </c>
      <c r="O121" s="114">
        <v>9482720</v>
      </c>
      <c r="P121" s="114">
        <v>9361390</v>
      </c>
      <c r="Q121" s="112" t="s">
        <v>435</v>
      </c>
    </row>
    <row r="122" spans="1:17" ht="17.7" customHeight="1">
      <c r="A122" s="111">
        <v>118</v>
      </c>
      <c r="B122" s="112">
        <v>1209</v>
      </c>
      <c r="C122" s="112" t="s">
        <v>147</v>
      </c>
      <c r="D122" s="112" t="s">
        <v>28</v>
      </c>
      <c r="E122" s="112">
        <v>1728</v>
      </c>
      <c r="F122" s="113">
        <v>344126</v>
      </c>
      <c r="G122" s="114">
        <v>34.9</v>
      </c>
      <c r="H122" s="114">
        <v>34.9</v>
      </c>
      <c r="I122" s="115" t="s">
        <v>42</v>
      </c>
      <c r="J122" s="115"/>
      <c r="K122" s="115" t="s">
        <v>16</v>
      </c>
      <c r="L122" s="115" t="s">
        <v>378</v>
      </c>
      <c r="M122" s="114">
        <v>12010000</v>
      </c>
      <c r="N122" s="114">
        <v>12010000</v>
      </c>
      <c r="O122" s="114">
        <v>12010000</v>
      </c>
      <c r="P122" s="114">
        <v>11972308</v>
      </c>
      <c r="Q122" s="112" t="s">
        <v>436</v>
      </c>
    </row>
    <row r="123" spans="1:17" ht="17.7" customHeight="1">
      <c r="A123" s="111">
        <v>119</v>
      </c>
      <c r="B123" s="112">
        <v>1210</v>
      </c>
      <c r="C123" s="112" t="s">
        <v>148</v>
      </c>
      <c r="D123" s="112" t="s">
        <v>33</v>
      </c>
      <c r="E123" s="112">
        <v>1728</v>
      </c>
      <c r="F123" s="113">
        <v>344828</v>
      </c>
      <c r="G123" s="114">
        <v>34.799999999999997</v>
      </c>
      <c r="H123" s="114">
        <v>34.799999999999997</v>
      </c>
      <c r="I123" s="115" t="s">
        <v>42</v>
      </c>
      <c r="J123" s="115"/>
      <c r="K123" s="115" t="s">
        <v>16</v>
      </c>
      <c r="L123" s="115" t="s">
        <v>378</v>
      </c>
      <c r="M123" s="114">
        <v>12000000</v>
      </c>
      <c r="N123" s="114">
        <v>12000000</v>
      </c>
      <c r="O123" s="114">
        <v>12000000</v>
      </c>
      <c r="P123" s="114">
        <v>11962416</v>
      </c>
      <c r="Q123" s="112" t="s">
        <v>437</v>
      </c>
    </row>
    <row r="124" spans="1:17" ht="16.95" customHeight="1">
      <c r="A124" s="111">
        <v>120</v>
      </c>
      <c r="B124" s="112">
        <v>1211</v>
      </c>
      <c r="C124" s="112" t="s">
        <v>149</v>
      </c>
      <c r="D124" s="112" t="s">
        <v>78</v>
      </c>
      <c r="E124" s="112">
        <v>1728</v>
      </c>
      <c r="F124" s="113">
        <v>314682</v>
      </c>
      <c r="G124" s="114">
        <v>34.9</v>
      </c>
      <c r="H124" s="114">
        <v>34.9</v>
      </c>
      <c r="I124" s="115" t="s">
        <v>42</v>
      </c>
      <c r="J124" s="115"/>
      <c r="K124" s="115" t="s">
        <v>16</v>
      </c>
      <c r="L124" s="115" t="s">
        <v>378</v>
      </c>
      <c r="M124" s="114">
        <v>10982400</v>
      </c>
      <c r="N124" s="114">
        <v>10982400</v>
      </c>
      <c r="O124" s="114">
        <v>10982400</v>
      </c>
      <c r="P124" s="114">
        <v>10842786</v>
      </c>
      <c r="Q124" s="112" t="s">
        <v>435</v>
      </c>
    </row>
    <row r="125" spans="1:17" ht="17.7" customHeight="1">
      <c r="A125" s="111">
        <v>121</v>
      </c>
      <c r="B125" s="112">
        <v>1212</v>
      </c>
      <c r="C125" s="112" t="s">
        <v>150</v>
      </c>
      <c r="D125" s="112" t="s">
        <v>80</v>
      </c>
      <c r="E125" s="112">
        <v>1728</v>
      </c>
      <c r="F125" s="113">
        <v>342241</v>
      </c>
      <c r="G125" s="114">
        <v>34.93</v>
      </c>
      <c r="H125" s="114">
        <v>34.93</v>
      </c>
      <c r="I125" s="115" t="s">
        <v>42</v>
      </c>
      <c r="J125" s="115"/>
      <c r="K125" s="115" t="s">
        <v>16</v>
      </c>
      <c r="L125" s="115" t="s">
        <v>378</v>
      </c>
      <c r="M125" s="114">
        <v>11910000</v>
      </c>
      <c r="N125" s="114">
        <v>11910000</v>
      </c>
      <c r="O125" s="114">
        <v>11954492</v>
      </c>
      <c r="P125" s="114">
        <v>11916767</v>
      </c>
      <c r="Q125" s="112" t="s">
        <v>438</v>
      </c>
    </row>
    <row r="126" spans="1:17" ht="16.95" customHeight="1">
      <c r="A126" s="111">
        <v>122</v>
      </c>
      <c r="B126" s="112">
        <v>1213</v>
      </c>
      <c r="C126" s="112" t="s">
        <v>151</v>
      </c>
      <c r="D126" s="112" t="s">
        <v>35</v>
      </c>
      <c r="E126" s="112">
        <v>1728</v>
      </c>
      <c r="F126" s="113">
        <v>312598</v>
      </c>
      <c r="G126" s="114">
        <v>34.799999999999997</v>
      </c>
      <c r="H126" s="114">
        <v>34.799999999999997</v>
      </c>
      <c r="I126" s="115" t="s">
        <v>42</v>
      </c>
      <c r="J126" s="115"/>
      <c r="K126" s="115" t="s">
        <v>16</v>
      </c>
      <c r="L126" s="115" t="s">
        <v>378</v>
      </c>
      <c r="M126" s="114">
        <v>10878400</v>
      </c>
      <c r="N126" s="114">
        <v>10878400</v>
      </c>
      <c r="O126" s="114">
        <v>10878400</v>
      </c>
      <c r="P126" s="114">
        <v>10739183</v>
      </c>
      <c r="Q126" s="112" t="s">
        <v>435</v>
      </c>
    </row>
    <row r="127" spans="1:17" ht="17.7" customHeight="1">
      <c r="A127" s="111">
        <v>123</v>
      </c>
      <c r="B127" s="112">
        <v>1214</v>
      </c>
      <c r="C127" s="112" t="s">
        <v>152</v>
      </c>
      <c r="D127" s="112" t="s">
        <v>37</v>
      </c>
      <c r="E127" s="112">
        <v>1728</v>
      </c>
      <c r="F127" s="113">
        <v>301570</v>
      </c>
      <c r="G127" s="114">
        <v>34.9</v>
      </c>
      <c r="H127" s="114">
        <v>34.9</v>
      </c>
      <c r="I127" s="115" t="s">
        <v>42</v>
      </c>
      <c r="J127" s="115"/>
      <c r="K127" s="115" t="s">
        <v>16</v>
      </c>
      <c r="L127" s="115" t="s">
        <v>378</v>
      </c>
      <c r="M127" s="114">
        <v>10524800</v>
      </c>
      <c r="N127" s="114">
        <v>10524800</v>
      </c>
      <c r="O127" s="114">
        <v>10524800</v>
      </c>
      <c r="P127" s="114">
        <v>10385186</v>
      </c>
      <c r="Q127" s="112" t="s">
        <v>435</v>
      </c>
    </row>
    <row r="128" spans="1:17" ht="17.7" customHeight="1">
      <c r="A128" s="111">
        <v>124</v>
      </c>
      <c r="B128" s="112" t="s">
        <v>153</v>
      </c>
      <c r="C128" s="112" t="s">
        <v>154</v>
      </c>
      <c r="D128" s="112" t="s">
        <v>15</v>
      </c>
      <c r="E128" s="112">
        <v>1728</v>
      </c>
      <c r="F128" s="113">
        <v>314468</v>
      </c>
      <c r="G128" s="114">
        <v>34.97</v>
      </c>
      <c r="H128" s="114">
        <v>34.97</v>
      </c>
      <c r="I128" s="115" t="s">
        <v>42</v>
      </c>
      <c r="J128" s="115"/>
      <c r="K128" s="115" t="s">
        <v>16</v>
      </c>
      <c r="L128" s="115" t="s">
        <v>378</v>
      </c>
      <c r="M128" s="114">
        <v>10996960</v>
      </c>
      <c r="N128" s="114">
        <v>10996960</v>
      </c>
      <c r="O128" s="114">
        <v>10996960</v>
      </c>
      <c r="P128" s="114">
        <v>10856474</v>
      </c>
      <c r="Q128" s="112" t="s">
        <v>435</v>
      </c>
    </row>
    <row r="129" spans="1:17" ht="16.95" customHeight="1">
      <c r="A129" s="111">
        <v>125</v>
      </c>
      <c r="B129" s="112" t="s">
        <v>155</v>
      </c>
      <c r="C129" s="112" t="s">
        <v>156</v>
      </c>
      <c r="D129" s="112" t="s">
        <v>18</v>
      </c>
      <c r="E129" s="112">
        <v>1728</v>
      </c>
      <c r="F129" s="113">
        <v>343027</v>
      </c>
      <c r="G129" s="114">
        <v>33.92</v>
      </c>
      <c r="H129" s="114">
        <v>33.92</v>
      </c>
      <c r="I129" s="115" t="s">
        <v>42</v>
      </c>
      <c r="J129" s="115"/>
      <c r="K129" s="115" t="s">
        <v>16</v>
      </c>
      <c r="L129" s="115" t="s">
        <v>378</v>
      </c>
      <c r="M129" s="114">
        <v>11560000</v>
      </c>
      <c r="N129" s="114">
        <v>11560000</v>
      </c>
      <c r="O129" s="114">
        <v>11635466</v>
      </c>
      <c r="P129" s="114">
        <v>11635466</v>
      </c>
      <c r="Q129" s="112" t="s">
        <v>439</v>
      </c>
    </row>
    <row r="130" spans="1:17" ht="16.95" customHeight="1">
      <c r="A130" s="111">
        <v>126</v>
      </c>
      <c r="B130" s="112" t="s">
        <v>157</v>
      </c>
      <c r="C130" s="112" t="s">
        <v>158</v>
      </c>
      <c r="D130" s="112" t="s">
        <v>21</v>
      </c>
      <c r="E130" s="112">
        <v>1728</v>
      </c>
      <c r="F130" s="113">
        <v>345272</v>
      </c>
      <c r="G130" s="114">
        <v>34.9</v>
      </c>
      <c r="H130" s="114">
        <v>34.9</v>
      </c>
      <c r="I130" s="115" t="s">
        <v>42</v>
      </c>
      <c r="J130" s="115"/>
      <c r="K130" s="115" t="s">
        <v>16</v>
      </c>
      <c r="L130" s="115" t="s">
        <v>378</v>
      </c>
      <c r="M130" s="114">
        <v>12050000</v>
      </c>
      <c r="N130" s="114">
        <v>12050000</v>
      </c>
      <c r="O130" s="114">
        <v>12050000</v>
      </c>
      <c r="P130" s="114">
        <v>12050000</v>
      </c>
      <c r="Q130" s="112" t="s">
        <v>440</v>
      </c>
    </row>
    <row r="131" spans="1:17" ht="17.7" customHeight="1">
      <c r="A131" s="111">
        <v>127</v>
      </c>
      <c r="B131" s="112" t="s">
        <v>159</v>
      </c>
      <c r="C131" s="112" t="s">
        <v>160</v>
      </c>
      <c r="D131" s="112" t="s">
        <v>21</v>
      </c>
      <c r="E131" s="112">
        <v>1728</v>
      </c>
      <c r="F131" s="113">
        <v>345272</v>
      </c>
      <c r="G131" s="114">
        <v>34.9</v>
      </c>
      <c r="H131" s="114">
        <v>34.9</v>
      </c>
      <c r="I131" s="115" t="s">
        <v>42</v>
      </c>
      <c r="J131" s="115"/>
      <c r="K131" s="115" t="s">
        <v>16</v>
      </c>
      <c r="L131" s="115" t="s">
        <v>378</v>
      </c>
      <c r="M131" s="114">
        <v>12050000</v>
      </c>
      <c r="N131" s="114">
        <v>12050000</v>
      </c>
      <c r="O131" s="114">
        <v>12050000</v>
      </c>
      <c r="P131" s="114">
        <v>12050000</v>
      </c>
      <c r="Q131" s="112" t="s">
        <v>441</v>
      </c>
    </row>
    <row r="132" spans="1:17" ht="17.7" customHeight="1">
      <c r="A132" s="111">
        <v>128</v>
      </c>
      <c r="B132" s="112" t="s">
        <v>161</v>
      </c>
      <c r="C132" s="112" t="s">
        <v>162</v>
      </c>
      <c r="D132" s="112" t="s">
        <v>24</v>
      </c>
      <c r="E132" s="112">
        <v>1728</v>
      </c>
      <c r="F132" s="113">
        <v>345272</v>
      </c>
      <c r="G132" s="114">
        <v>34.9</v>
      </c>
      <c r="H132" s="114">
        <v>34.9</v>
      </c>
      <c r="I132" s="115" t="s">
        <v>42</v>
      </c>
      <c r="J132" s="115"/>
      <c r="K132" s="115" t="s">
        <v>16</v>
      </c>
      <c r="L132" s="115" t="s">
        <v>378</v>
      </c>
      <c r="M132" s="114">
        <v>12050000</v>
      </c>
      <c r="N132" s="114">
        <v>12050000</v>
      </c>
      <c r="O132" s="114">
        <v>12050000</v>
      </c>
      <c r="P132" s="114">
        <v>12050000</v>
      </c>
      <c r="Q132" s="112" t="s">
        <v>442</v>
      </c>
    </row>
    <row r="133" spans="1:17" ht="16.95" customHeight="1">
      <c r="A133" s="111">
        <v>129</v>
      </c>
      <c r="B133" s="112" t="s">
        <v>163</v>
      </c>
      <c r="C133" s="112" t="s">
        <v>164</v>
      </c>
      <c r="D133" s="112" t="s">
        <v>26</v>
      </c>
      <c r="E133" s="112">
        <v>1728</v>
      </c>
      <c r="F133" s="113">
        <v>301821</v>
      </c>
      <c r="G133" s="114">
        <v>33.92</v>
      </c>
      <c r="H133" s="114">
        <v>33.92</v>
      </c>
      <c r="I133" s="115" t="s">
        <v>42</v>
      </c>
      <c r="J133" s="115"/>
      <c r="K133" s="115" t="s">
        <v>16</v>
      </c>
      <c r="L133" s="115" t="s">
        <v>378</v>
      </c>
      <c r="M133" s="114">
        <v>10237760</v>
      </c>
      <c r="N133" s="114">
        <v>10237760</v>
      </c>
      <c r="O133" s="114">
        <v>10237760</v>
      </c>
      <c r="P133" s="114">
        <v>10101456</v>
      </c>
      <c r="Q133" s="112" t="s">
        <v>424</v>
      </c>
    </row>
    <row r="134" spans="1:17" ht="17.7" customHeight="1">
      <c r="A134" s="111">
        <v>130</v>
      </c>
      <c r="B134" s="112" t="s">
        <v>165</v>
      </c>
      <c r="C134" s="112" t="s">
        <v>166</v>
      </c>
      <c r="D134" s="112" t="s">
        <v>28</v>
      </c>
      <c r="E134" s="112">
        <v>1728</v>
      </c>
      <c r="F134" s="113">
        <v>301517</v>
      </c>
      <c r="G134" s="114">
        <v>34.92</v>
      </c>
      <c r="H134" s="114">
        <v>34.92</v>
      </c>
      <c r="I134" s="115" t="s">
        <v>42</v>
      </c>
      <c r="J134" s="115"/>
      <c r="K134" s="115" t="s">
        <v>16</v>
      </c>
      <c r="L134" s="115" t="s">
        <v>378</v>
      </c>
      <c r="M134" s="114">
        <v>10528960</v>
      </c>
      <c r="N134" s="114">
        <v>10528960</v>
      </c>
      <c r="O134" s="114">
        <v>10528960</v>
      </c>
      <c r="P134" s="114">
        <v>10388673</v>
      </c>
      <c r="Q134" s="112" t="s">
        <v>424</v>
      </c>
    </row>
    <row r="135" spans="1:17" ht="16.95" customHeight="1">
      <c r="A135" s="111">
        <v>131</v>
      </c>
      <c r="B135" s="112" t="s">
        <v>167</v>
      </c>
      <c r="C135" s="112" t="s">
        <v>168</v>
      </c>
      <c r="D135" s="112" t="s">
        <v>30</v>
      </c>
      <c r="E135" s="112">
        <v>1728</v>
      </c>
      <c r="F135" s="113">
        <v>309508</v>
      </c>
      <c r="G135" s="114">
        <v>30.29</v>
      </c>
      <c r="H135" s="114">
        <v>30.29</v>
      </c>
      <c r="I135" s="115" t="s">
        <v>42</v>
      </c>
      <c r="J135" s="115"/>
      <c r="K135" s="115" t="s">
        <v>16</v>
      </c>
      <c r="L135" s="115" t="s">
        <v>378</v>
      </c>
      <c r="M135" s="114">
        <v>9375000</v>
      </c>
      <c r="N135" s="114">
        <v>9375000</v>
      </c>
      <c r="O135" s="114">
        <v>9375000</v>
      </c>
      <c r="P135" s="114">
        <v>9053154.8000000007</v>
      </c>
      <c r="Q135" s="112" t="s">
        <v>443</v>
      </c>
    </row>
    <row r="136" spans="1:17" ht="17.7" customHeight="1">
      <c r="A136" s="111">
        <v>132</v>
      </c>
      <c r="B136" s="112" t="s">
        <v>169</v>
      </c>
      <c r="C136" s="112" t="s">
        <v>170</v>
      </c>
      <c r="D136" s="112" t="s">
        <v>28</v>
      </c>
      <c r="E136" s="112">
        <v>1728</v>
      </c>
      <c r="F136" s="113">
        <v>292264</v>
      </c>
      <c r="G136" s="114">
        <v>34.9</v>
      </c>
      <c r="H136" s="114">
        <v>34.9</v>
      </c>
      <c r="I136" s="115" t="s">
        <v>42</v>
      </c>
      <c r="J136" s="115"/>
      <c r="K136" s="115" t="s">
        <v>16</v>
      </c>
      <c r="L136" s="115" t="s">
        <v>378</v>
      </c>
      <c r="M136" s="114">
        <v>10200000</v>
      </c>
      <c r="N136" s="114">
        <v>10200000</v>
      </c>
      <c r="O136" s="114">
        <v>10200000</v>
      </c>
      <c r="P136" s="114">
        <v>9859793</v>
      </c>
      <c r="Q136" s="112" t="s">
        <v>443</v>
      </c>
    </row>
    <row r="137" spans="1:17" ht="17.7" customHeight="1">
      <c r="A137" s="111">
        <v>133</v>
      </c>
      <c r="B137" s="112" t="s">
        <v>171</v>
      </c>
      <c r="C137" s="112" t="s">
        <v>172</v>
      </c>
      <c r="D137" s="112" t="s">
        <v>33</v>
      </c>
      <c r="E137" s="112">
        <v>1728</v>
      </c>
      <c r="F137" s="113">
        <v>297414</v>
      </c>
      <c r="G137" s="114">
        <v>34.799999999999997</v>
      </c>
      <c r="H137" s="114">
        <v>34.799999999999997</v>
      </c>
      <c r="I137" s="115" t="s">
        <v>42</v>
      </c>
      <c r="J137" s="115"/>
      <c r="K137" s="115" t="s">
        <v>16</v>
      </c>
      <c r="L137" s="115" t="s">
        <v>378</v>
      </c>
      <c r="M137" s="114">
        <v>10350000</v>
      </c>
      <c r="N137" s="114">
        <v>10350000</v>
      </c>
      <c r="O137" s="114">
        <v>10350000</v>
      </c>
      <c r="P137" s="114">
        <v>10010191</v>
      </c>
      <c r="Q137" s="112" t="s">
        <v>444</v>
      </c>
    </row>
    <row r="138" spans="1:17" ht="16.95" customHeight="1">
      <c r="A138" s="111">
        <v>134</v>
      </c>
      <c r="B138" s="112" t="s">
        <v>173</v>
      </c>
      <c r="C138" s="112" t="s">
        <v>174</v>
      </c>
      <c r="D138" s="112" t="s">
        <v>78</v>
      </c>
      <c r="E138" s="112">
        <v>1728</v>
      </c>
      <c r="F138" s="113">
        <v>298711</v>
      </c>
      <c r="G138" s="114">
        <v>34.9</v>
      </c>
      <c r="H138" s="114">
        <v>34.9</v>
      </c>
      <c r="I138" s="115" t="s">
        <v>42</v>
      </c>
      <c r="J138" s="115"/>
      <c r="K138" s="115" t="s">
        <v>16</v>
      </c>
      <c r="L138" s="115" t="s">
        <v>378</v>
      </c>
      <c r="M138" s="114">
        <v>10425000</v>
      </c>
      <c r="N138" s="114">
        <v>10425000</v>
      </c>
      <c r="O138" s="114">
        <v>10425000</v>
      </c>
      <c r="P138" s="114">
        <v>10084793</v>
      </c>
      <c r="Q138" s="112" t="s">
        <v>444</v>
      </c>
    </row>
    <row r="139" spans="1:17" ht="17.7" customHeight="1">
      <c r="A139" s="111">
        <v>135</v>
      </c>
      <c r="B139" s="112" t="s">
        <v>175</v>
      </c>
      <c r="C139" s="112" t="s">
        <v>176</v>
      </c>
      <c r="D139" s="112" t="s">
        <v>177</v>
      </c>
      <c r="E139" s="112">
        <v>1728</v>
      </c>
      <c r="F139" s="113">
        <v>294048</v>
      </c>
      <c r="G139" s="114">
        <v>42.51</v>
      </c>
      <c r="H139" s="114">
        <v>42.51</v>
      </c>
      <c r="I139" s="115" t="s">
        <v>42</v>
      </c>
      <c r="J139" s="115"/>
      <c r="K139" s="115" t="s">
        <v>16</v>
      </c>
      <c r="L139" s="115" t="s">
        <v>378</v>
      </c>
      <c r="M139" s="114">
        <v>12500000</v>
      </c>
      <c r="N139" s="114">
        <v>12500000</v>
      </c>
      <c r="O139" s="114">
        <v>12500000</v>
      </c>
      <c r="P139" s="114">
        <v>12329482.199999999</v>
      </c>
      <c r="Q139" s="112" t="s">
        <v>445</v>
      </c>
    </row>
    <row r="140" spans="1:17" ht="17.7" customHeight="1">
      <c r="A140" s="111">
        <v>136</v>
      </c>
      <c r="B140" s="112">
        <v>1401</v>
      </c>
      <c r="C140" s="112" t="s">
        <v>178</v>
      </c>
      <c r="D140" s="112" t="s">
        <v>15</v>
      </c>
      <c r="E140" s="112">
        <v>1728</v>
      </c>
      <c r="F140" s="113">
        <v>272006</v>
      </c>
      <c r="G140" s="114">
        <v>34.97</v>
      </c>
      <c r="H140" s="114">
        <v>34.97</v>
      </c>
      <c r="I140" s="115" t="s">
        <v>42</v>
      </c>
      <c r="J140" s="115"/>
      <c r="K140" s="115" t="s">
        <v>16</v>
      </c>
      <c r="L140" s="115" t="s">
        <v>378</v>
      </c>
      <c r="M140" s="114">
        <v>9493000</v>
      </c>
      <c r="N140" s="114">
        <v>9940000</v>
      </c>
      <c r="O140" s="114">
        <v>9512041</v>
      </c>
      <c r="P140" s="114">
        <v>9370960.4000000004</v>
      </c>
      <c r="Q140" s="112" t="s">
        <v>446</v>
      </c>
    </row>
    <row r="141" spans="1:17" ht="16.95" customHeight="1">
      <c r="A141" s="111">
        <v>137</v>
      </c>
      <c r="B141" s="112">
        <v>1402</v>
      </c>
      <c r="C141" s="112" t="s">
        <v>179</v>
      </c>
      <c r="D141" s="112" t="s">
        <v>18</v>
      </c>
      <c r="E141" s="112">
        <v>1728</v>
      </c>
      <c r="F141" s="113">
        <v>270920</v>
      </c>
      <c r="G141" s="114">
        <v>33.92</v>
      </c>
      <c r="H141" s="114">
        <v>33.92</v>
      </c>
      <c r="I141" s="115" t="s">
        <v>42</v>
      </c>
      <c r="J141" s="115"/>
      <c r="K141" s="115" t="s">
        <v>16</v>
      </c>
      <c r="L141" s="115" t="s">
        <v>378</v>
      </c>
      <c r="M141" s="114">
        <v>9130000</v>
      </c>
      <c r="N141" s="114">
        <v>9560000</v>
      </c>
      <c r="O141" s="114">
        <v>9189603</v>
      </c>
      <c r="P141" s="114">
        <v>9052722</v>
      </c>
      <c r="Q141" s="112" t="s">
        <v>447</v>
      </c>
    </row>
    <row r="142" spans="1:17" ht="17.7" customHeight="1">
      <c r="A142" s="111">
        <v>138</v>
      </c>
      <c r="B142" s="112">
        <v>1403</v>
      </c>
      <c r="C142" s="112" t="s">
        <v>180</v>
      </c>
      <c r="D142" s="112" t="s">
        <v>21</v>
      </c>
      <c r="E142" s="112">
        <v>1728</v>
      </c>
      <c r="F142" s="113">
        <v>285673</v>
      </c>
      <c r="G142" s="114">
        <v>34.9</v>
      </c>
      <c r="H142" s="114">
        <v>34.9</v>
      </c>
      <c r="I142" s="115" t="s">
        <v>42</v>
      </c>
      <c r="J142" s="115"/>
      <c r="K142" s="115" t="s">
        <v>16</v>
      </c>
      <c r="L142" s="115" t="s">
        <v>378</v>
      </c>
      <c r="M142" s="114">
        <v>9671000</v>
      </c>
      <c r="N142" s="114">
        <v>9970000</v>
      </c>
      <c r="O142" s="114">
        <v>9671000</v>
      </c>
      <c r="P142" s="114">
        <v>9530900</v>
      </c>
      <c r="Q142" s="112" t="s">
        <v>448</v>
      </c>
    </row>
    <row r="143" spans="1:17" ht="16.95" customHeight="1">
      <c r="A143" s="111">
        <v>139</v>
      </c>
      <c r="B143" s="112">
        <v>1404</v>
      </c>
      <c r="C143" s="112" t="s">
        <v>181</v>
      </c>
      <c r="D143" s="112" t="s">
        <v>21</v>
      </c>
      <c r="E143" s="112">
        <v>1728</v>
      </c>
      <c r="F143" s="113">
        <v>285673</v>
      </c>
      <c r="G143" s="114">
        <v>34.9</v>
      </c>
      <c r="H143" s="114">
        <v>34.9</v>
      </c>
      <c r="I143" s="115" t="s">
        <v>42</v>
      </c>
      <c r="J143" s="115"/>
      <c r="K143" s="115" t="s">
        <v>16</v>
      </c>
      <c r="L143" s="115" t="s">
        <v>378</v>
      </c>
      <c r="M143" s="114">
        <v>9572000</v>
      </c>
      <c r="N143" s="114">
        <v>9970000</v>
      </c>
      <c r="O143" s="114">
        <v>9572000</v>
      </c>
      <c r="P143" s="114">
        <v>9431200</v>
      </c>
      <c r="Q143" s="112" t="s">
        <v>449</v>
      </c>
    </row>
    <row r="144" spans="1:17" ht="17.7" customHeight="1">
      <c r="A144" s="111">
        <v>140</v>
      </c>
      <c r="B144" s="112">
        <v>1405</v>
      </c>
      <c r="C144" s="112" t="s">
        <v>182</v>
      </c>
      <c r="D144" s="112" t="s">
        <v>24</v>
      </c>
      <c r="E144" s="112">
        <v>1728</v>
      </c>
      <c r="F144" s="113">
        <v>272837</v>
      </c>
      <c r="G144" s="114">
        <v>34.9</v>
      </c>
      <c r="H144" s="114">
        <v>34.9</v>
      </c>
      <c r="I144" s="115" t="s">
        <v>42</v>
      </c>
      <c r="J144" s="115"/>
      <c r="K144" s="115" t="s">
        <v>16</v>
      </c>
      <c r="L144" s="115" t="s">
        <v>378</v>
      </c>
      <c r="M144" s="114">
        <v>9522000</v>
      </c>
      <c r="N144" s="114">
        <v>9970000</v>
      </c>
      <c r="O144" s="114">
        <v>9522000</v>
      </c>
      <c r="P144" s="114">
        <v>9381200</v>
      </c>
      <c r="Q144" s="112" t="s">
        <v>450</v>
      </c>
    </row>
    <row r="145" spans="1:17" ht="17.7" customHeight="1">
      <c r="A145" s="111">
        <v>141</v>
      </c>
      <c r="B145" s="112">
        <v>1406</v>
      </c>
      <c r="C145" s="112" t="s">
        <v>183</v>
      </c>
      <c r="D145" s="112" t="s">
        <v>26</v>
      </c>
      <c r="E145" s="112">
        <v>1728</v>
      </c>
      <c r="F145" s="113">
        <v>265330</v>
      </c>
      <c r="G145" s="114">
        <v>33.92</v>
      </c>
      <c r="H145" s="114">
        <v>33.92</v>
      </c>
      <c r="I145" s="115" t="s">
        <v>42</v>
      </c>
      <c r="J145" s="115"/>
      <c r="K145" s="115" t="s">
        <v>16</v>
      </c>
      <c r="L145" s="115" t="s">
        <v>378</v>
      </c>
      <c r="M145" s="114">
        <v>9000000</v>
      </c>
      <c r="N145" s="114">
        <v>9000000</v>
      </c>
      <c r="O145" s="114">
        <v>9000000</v>
      </c>
      <c r="P145" s="114">
        <v>8826485.8000000007</v>
      </c>
      <c r="Q145" s="112" t="s">
        <v>451</v>
      </c>
    </row>
    <row r="146" spans="1:17" ht="16.95" customHeight="1">
      <c r="A146" s="111">
        <v>142</v>
      </c>
      <c r="B146" s="112">
        <v>1407</v>
      </c>
      <c r="C146" s="112" t="s">
        <v>184</v>
      </c>
      <c r="D146" s="112" t="s">
        <v>28</v>
      </c>
      <c r="E146" s="112">
        <v>1728</v>
      </c>
      <c r="F146" s="113">
        <v>269187</v>
      </c>
      <c r="G146" s="114">
        <v>34.92</v>
      </c>
      <c r="H146" s="114">
        <v>34.92</v>
      </c>
      <c r="I146" s="115" t="s">
        <v>42</v>
      </c>
      <c r="J146" s="115"/>
      <c r="K146" s="115" t="s">
        <v>16</v>
      </c>
      <c r="L146" s="115" t="s">
        <v>378</v>
      </c>
      <c r="M146" s="114">
        <v>9400000</v>
      </c>
      <c r="N146" s="114">
        <v>9400000</v>
      </c>
      <c r="O146" s="114">
        <v>9400000</v>
      </c>
      <c r="P146" s="114">
        <v>9259119</v>
      </c>
      <c r="Q146" s="112" t="s">
        <v>452</v>
      </c>
    </row>
    <row r="147" spans="1:17" ht="17.7" customHeight="1">
      <c r="A147" s="111">
        <v>143</v>
      </c>
      <c r="B147" s="112">
        <v>1408</v>
      </c>
      <c r="C147" s="112" t="s">
        <v>185</v>
      </c>
      <c r="D147" s="112" t="s">
        <v>30</v>
      </c>
      <c r="E147" s="112">
        <v>1728</v>
      </c>
      <c r="F147" s="113">
        <v>276633</v>
      </c>
      <c r="G147" s="114">
        <v>30.29</v>
      </c>
      <c r="H147" s="114">
        <v>30.29</v>
      </c>
      <c r="I147" s="115" t="s">
        <v>42</v>
      </c>
      <c r="J147" s="115"/>
      <c r="K147" s="115" t="s">
        <v>16</v>
      </c>
      <c r="L147" s="115" t="s">
        <v>378</v>
      </c>
      <c r="M147" s="114">
        <v>8299000</v>
      </c>
      <c r="N147" s="114">
        <v>8690000</v>
      </c>
      <c r="O147" s="114">
        <v>8379224</v>
      </c>
      <c r="P147" s="114">
        <v>8346510.7999999998</v>
      </c>
      <c r="Q147" s="112" t="s">
        <v>453</v>
      </c>
    </row>
    <row r="148" spans="1:17" ht="17.7" customHeight="1">
      <c r="A148" s="111">
        <v>144</v>
      </c>
      <c r="B148" s="112">
        <v>1409</v>
      </c>
      <c r="C148" s="112" t="s">
        <v>186</v>
      </c>
      <c r="D148" s="112" t="s">
        <v>28</v>
      </c>
      <c r="E148" s="112">
        <v>1728</v>
      </c>
      <c r="F148" s="113">
        <v>283668</v>
      </c>
      <c r="G148" s="114">
        <v>34.9</v>
      </c>
      <c r="H148" s="114">
        <v>34.9</v>
      </c>
      <c r="I148" s="115" t="s">
        <v>42</v>
      </c>
      <c r="J148" s="115"/>
      <c r="K148" s="115" t="s">
        <v>16</v>
      </c>
      <c r="L148" s="115" t="s">
        <v>378</v>
      </c>
      <c r="M148" s="114">
        <v>9900000</v>
      </c>
      <c r="N148" s="114">
        <v>9900000</v>
      </c>
      <c r="O148" s="114">
        <v>9900000</v>
      </c>
      <c r="P148" s="114">
        <v>9759200</v>
      </c>
      <c r="Q148" s="112" t="s">
        <v>454</v>
      </c>
    </row>
    <row r="149" spans="1:17" ht="16.95" customHeight="1">
      <c r="A149" s="111">
        <v>145</v>
      </c>
      <c r="B149" s="112">
        <v>1410</v>
      </c>
      <c r="C149" s="112" t="s">
        <v>187</v>
      </c>
      <c r="D149" s="112" t="s">
        <v>33</v>
      </c>
      <c r="E149" s="112">
        <v>1728</v>
      </c>
      <c r="F149" s="113">
        <v>284483</v>
      </c>
      <c r="G149" s="114">
        <v>34.799999999999997</v>
      </c>
      <c r="H149" s="114">
        <v>34.799999999999997</v>
      </c>
      <c r="I149" s="115" t="s">
        <v>42</v>
      </c>
      <c r="J149" s="115"/>
      <c r="K149" s="115" t="s">
        <v>16</v>
      </c>
      <c r="L149" s="115" t="s">
        <v>378</v>
      </c>
      <c r="M149" s="114">
        <v>9900000</v>
      </c>
      <c r="N149" s="114">
        <v>9900000</v>
      </c>
      <c r="O149" s="114">
        <v>9900000</v>
      </c>
      <c r="P149" s="114">
        <v>9759600</v>
      </c>
      <c r="Q149" s="112" t="s">
        <v>455</v>
      </c>
    </row>
    <row r="150" spans="1:17" ht="17.7" customHeight="1">
      <c r="A150" s="111">
        <v>146</v>
      </c>
      <c r="B150" s="112">
        <v>1411</v>
      </c>
      <c r="C150" s="112" t="s">
        <v>188</v>
      </c>
      <c r="D150" s="112" t="s">
        <v>78</v>
      </c>
      <c r="E150" s="112">
        <v>1728</v>
      </c>
      <c r="F150" s="113">
        <v>400573.07</v>
      </c>
      <c r="G150" s="114">
        <v>34.9</v>
      </c>
      <c r="H150" s="114">
        <v>34.9</v>
      </c>
      <c r="I150" s="115" t="s">
        <v>19</v>
      </c>
      <c r="J150" s="115" t="s">
        <v>529</v>
      </c>
      <c r="K150" s="115" t="s">
        <v>16</v>
      </c>
      <c r="L150" s="115" t="s">
        <v>378</v>
      </c>
      <c r="M150" s="114">
        <v>0</v>
      </c>
      <c r="N150" s="114">
        <v>13980000</v>
      </c>
      <c r="O150" s="114">
        <v>13980000</v>
      </c>
      <c r="P150" s="114">
        <v>0</v>
      </c>
    </row>
    <row r="151" spans="1:17" ht="16.95" customHeight="1">
      <c r="A151" s="111">
        <v>147</v>
      </c>
      <c r="B151" s="112">
        <v>1412</v>
      </c>
      <c r="C151" s="112" t="s">
        <v>189</v>
      </c>
      <c r="D151" s="112" t="s">
        <v>177</v>
      </c>
      <c r="E151" s="112">
        <v>1728</v>
      </c>
      <c r="F151" s="113">
        <v>280595</v>
      </c>
      <c r="G151" s="114">
        <v>42.51</v>
      </c>
      <c r="H151" s="114">
        <v>42.51</v>
      </c>
      <c r="I151" s="115" t="s">
        <v>42</v>
      </c>
      <c r="J151" s="115"/>
      <c r="K151" s="115" t="s">
        <v>16</v>
      </c>
      <c r="L151" s="115" t="s">
        <v>378</v>
      </c>
      <c r="M151" s="114">
        <v>11785000</v>
      </c>
      <c r="N151" s="114">
        <v>12340000</v>
      </c>
      <c r="O151" s="114">
        <v>11928104</v>
      </c>
      <c r="P151" s="114">
        <v>11756863</v>
      </c>
      <c r="Q151" s="112" t="s">
        <v>456</v>
      </c>
    </row>
    <row r="152" spans="1:17" ht="17.7" customHeight="1">
      <c r="A152" s="111">
        <v>148</v>
      </c>
      <c r="B152" s="112">
        <v>1501</v>
      </c>
      <c r="C152" s="112" t="s">
        <v>190</v>
      </c>
      <c r="D152" s="112" t="s">
        <v>15</v>
      </c>
      <c r="E152" s="112">
        <v>1728</v>
      </c>
      <c r="F152" s="113">
        <v>286819</v>
      </c>
      <c r="G152" s="114">
        <v>34.97</v>
      </c>
      <c r="H152" s="114">
        <v>34.97</v>
      </c>
      <c r="I152" s="115" t="s">
        <v>42</v>
      </c>
      <c r="J152" s="115"/>
      <c r="K152" s="115" t="s">
        <v>16</v>
      </c>
      <c r="L152" s="115" t="s">
        <v>378</v>
      </c>
      <c r="M152" s="114">
        <v>9560000</v>
      </c>
      <c r="N152" s="114">
        <v>10010000</v>
      </c>
      <c r="O152" s="114">
        <v>9580078</v>
      </c>
      <c r="P152" s="114">
        <v>9438403</v>
      </c>
      <c r="Q152" s="112" t="s">
        <v>457</v>
      </c>
    </row>
    <row r="153" spans="1:17" ht="17.7" customHeight="1">
      <c r="A153" s="111">
        <v>149</v>
      </c>
      <c r="B153" s="112">
        <v>1502</v>
      </c>
      <c r="C153" s="112" t="s">
        <v>191</v>
      </c>
      <c r="D153" s="112" t="s">
        <v>18</v>
      </c>
      <c r="E153" s="112">
        <v>1728</v>
      </c>
      <c r="F153" s="113">
        <v>272908</v>
      </c>
      <c r="G153" s="114">
        <v>33.92</v>
      </c>
      <c r="H153" s="114">
        <v>33.92</v>
      </c>
      <c r="I153" s="115" t="s">
        <v>42</v>
      </c>
      <c r="J153" s="115"/>
      <c r="K153" s="115" t="s">
        <v>16</v>
      </c>
      <c r="L153" s="115" t="s">
        <v>378</v>
      </c>
      <c r="M153" s="114">
        <v>9197000</v>
      </c>
      <c r="N153" s="114">
        <v>9630000</v>
      </c>
      <c r="O153" s="114">
        <v>9257040</v>
      </c>
      <c r="P153" s="114">
        <v>9119582</v>
      </c>
      <c r="Q153" s="112" t="s">
        <v>458</v>
      </c>
    </row>
    <row r="154" spans="1:17" ht="16.95" customHeight="1">
      <c r="A154" s="111">
        <v>150</v>
      </c>
      <c r="B154" s="112">
        <v>1503</v>
      </c>
      <c r="C154" s="112" t="s">
        <v>192</v>
      </c>
      <c r="D154" s="112" t="s">
        <v>21</v>
      </c>
      <c r="E154" s="112">
        <v>1728</v>
      </c>
      <c r="F154" s="113">
        <v>283668</v>
      </c>
      <c r="G154" s="114">
        <v>34.9</v>
      </c>
      <c r="H154" s="114">
        <v>34.9</v>
      </c>
      <c r="I154" s="115" t="s">
        <v>42</v>
      </c>
      <c r="J154" s="115"/>
      <c r="K154" s="115" t="s">
        <v>16</v>
      </c>
      <c r="L154" s="115" t="s">
        <v>378</v>
      </c>
      <c r="M154" s="114">
        <v>9900000</v>
      </c>
      <c r="N154" s="114">
        <v>9900000</v>
      </c>
      <c r="O154" s="114">
        <v>9900000</v>
      </c>
      <c r="P154" s="114">
        <v>9900000</v>
      </c>
      <c r="Q154" s="112" t="s">
        <v>459</v>
      </c>
    </row>
    <row r="155" spans="1:17" ht="16.95" customHeight="1">
      <c r="A155" s="111">
        <v>151</v>
      </c>
      <c r="B155" s="112">
        <v>1504</v>
      </c>
      <c r="C155" s="112" t="s">
        <v>193</v>
      </c>
      <c r="D155" s="112" t="s">
        <v>21</v>
      </c>
      <c r="E155" s="112">
        <v>1728</v>
      </c>
      <c r="F155" s="113">
        <v>287966</v>
      </c>
      <c r="G155" s="114">
        <v>34.9</v>
      </c>
      <c r="H155" s="114">
        <v>34.9</v>
      </c>
      <c r="I155" s="115" t="s">
        <v>42</v>
      </c>
      <c r="J155" s="115"/>
      <c r="K155" s="115" t="s">
        <v>16</v>
      </c>
      <c r="L155" s="115" t="s">
        <v>378</v>
      </c>
      <c r="M155" s="114">
        <v>9648000</v>
      </c>
      <c r="N155" s="114">
        <v>10050000</v>
      </c>
      <c r="O155" s="114">
        <v>9648000</v>
      </c>
      <c r="P155" s="114">
        <v>9506606</v>
      </c>
      <c r="Q155" s="112" t="s">
        <v>460</v>
      </c>
    </row>
    <row r="156" spans="1:17" ht="17.7" customHeight="1">
      <c r="A156" s="111">
        <v>152</v>
      </c>
      <c r="B156" s="112">
        <v>1505</v>
      </c>
      <c r="C156" s="112" t="s">
        <v>194</v>
      </c>
      <c r="D156" s="112" t="s">
        <v>24</v>
      </c>
      <c r="E156" s="112">
        <v>1728</v>
      </c>
      <c r="F156" s="113">
        <v>275014</v>
      </c>
      <c r="G156" s="114">
        <v>34.9</v>
      </c>
      <c r="H156" s="114">
        <v>34.9</v>
      </c>
      <c r="I156" s="115" t="s">
        <v>42</v>
      </c>
      <c r="J156" s="115"/>
      <c r="K156" s="115" t="s">
        <v>16</v>
      </c>
      <c r="L156" s="115" t="s">
        <v>378</v>
      </c>
      <c r="M156" s="114">
        <v>9598000</v>
      </c>
      <c r="N156" s="114">
        <v>10050000</v>
      </c>
      <c r="O156" s="114">
        <v>9598000</v>
      </c>
      <c r="P156" s="114">
        <v>9457306</v>
      </c>
      <c r="Q156" s="112" t="s">
        <v>461</v>
      </c>
    </row>
    <row r="157" spans="1:17" ht="17.7" customHeight="1">
      <c r="A157" s="111">
        <v>153</v>
      </c>
      <c r="B157" s="112">
        <v>1506</v>
      </c>
      <c r="C157" s="112" t="s">
        <v>195</v>
      </c>
      <c r="D157" s="112" t="s">
        <v>26</v>
      </c>
      <c r="E157" s="112">
        <v>1728</v>
      </c>
      <c r="F157" s="113">
        <v>257567</v>
      </c>
      <c r="G157" s="114">
        <v>33.92</v>
      </c>
      <c r="H157" s="114">
        <v>33.92</v>
      </c>
      <c r="I157" s="115" t="s">
        <v>42</v>
      </c>
      <c r="J157" s="115"/>
      <c r="K157" s="115" t="s">
        <v>16</v>
      </c>
      <c r="L157" s="115" t="s">
        <v>378</v>
      </c>
      <c r="M157" s="114">
        <v>8680000</v>
      </c>
      <c r="N157" s="114">
        <v>8680000</v>
      </c>
      <c r="O157" s="114">
        <v>8736665</v>
      </c>
      <c r="P157" s="114">
        <v>8599207</v>
      </c>
      <c r="Q157" s="112" t="s">
        <v>462</v>
      </c>
    </row>
    <row r="158" spans="1:17" ht="16.95" customHeight="1">
      <c r="A158" s="111">
        <v>154</v>
      </c>
      <c r="B158" s="112">
        <v>1507</v>
      </c>
      <c r="C158" s="112" t="s">
        <v>196</v>
      </c>
      <c r="D158" s="112" t="s">
        <v>28</v>
      </c>
      <c r="E158" s="112">
        <v>1728</v>
      </c>
      <c r="F158" s="113">
        <v>268734</v>
      </c>
      <c r="G158" s="114">
        <v>34.92</v>
      </c>
      <c r="H158" s="114">
        <v>34.92</v>
      </c>
      <c r="I158" s="115" t="s">
        <v>42</v>
      </c>
      <c r="J158" s="115"/>
      <c r="K158" s="115" t="s">
        <v>16</v>
      </c>
      <c r="L158" s="115" t="s">
        <v>378</v>
      </c>
      <c r="M158" s="114">
        <v>9384200</v>
      </c>
      <c r="N158" s="114">
        <v>9384200</v>
      </c>
      <c r="O158" s="114">
        <v>9384200</v>
      </c>
      <c r="P158" s="114">
        <v>9242725.4000000004</v>
      </c>
      <c r="Q158" s="112" t="s">
        <v>463</v>
      </c>
    </row>
    <row r="159" spans="1:17" ht="17.7" customHeight="1">
      <c r="A159" s="111">
        <v>155</v>
      </c>
      <c r="B159" s="112">
        <v>1508</v>
      </c>
      <c r="C159" s="112" t="s">
        <v>197</v>
      </c>
      <c r="D159" s="112" t="s">
        <v>30</v>
      </c>
      <c r="E159" s="112">
        <v>1728</v>
      </c>
      <c r="F159" s="113">
        <v>297667</v>
      </c>
      <c r="G159" s="114">
        <v>30.29</v>
      </c>
      <c r="H159" s="114">
        <v>30.29</v>
      </c>
      <c r="I159" s="115" t="s">
        <v>42</v>
      </c>
      <c r="J159" s="115"/>
      <c r="K159" s="115" t="s">
        <v>16</v>
      </c>
      <c r="L159" s="115" t="s">
        <v>378</v>
      </c>
      <c r="M159" s="114">
        <v>8630000</v>
      </c>
      <c r="N159" s="114">
        <v>8930000</v>
      </c>
      <c r="O159" s="114">
        <v>8716324</v>
      </c>
      <c r="P159" s="114">
        <v>8593448</v>
      </c>
      <c r="Q159" s="112" t="s">
        <v>464</v>
      </c>
    </row>
    <row r="160" spans="1:17" ht="16.95" customHeight="1">
      <c r="A160" s="111">
        <v>156</v>
      </c>
      <c r="B160" s="112">
        <v>1509</v>
      </c>
      <c r="C160" s="112" t="s">
        <v>198</v>
      </c>
      <c r="D160" s="112" t="s">
        <v>28</v>
      </c>
      <c r="E160" s="112">
        <v>1728</v>
      </c>
      <c r="F160" s="113">
        <v>257307</v>
      </c>
      <c r="G160" s="114">
        <v>34.9</v>
      </c>
      <c r="H160" s="114">
        <v>34.9</v>
      </c>
      <c r="I160" s="115" t="s">
        <v>42</v>
      </c>
      <c r="J160" s="115"/>
      <c r="K160" s="115" t="s">
        <v>16</v>
      </c>
      <c r="L160" s="115" t="s">
        <v>378</v>
      </c>
      <c r="M160" s="114">
        <v>8980000</v>
      </c>
      <c r="N160" s="114">
        <v>8980000</v>
      </c>
      <c r="O160" s="114">
        <v>8980000</v>
      </c>
      <c r="P160" s="114">
        <v>8839306</v>
      </c>
      <c r="Q160" s="112" t="s">
        <v>465</v>
      </c>
    </row>
    <row r="161" spans="1:17" ht="17.7" customHeight="1">
      <c r="A161" s="111">
        <v>157</v>
      </c>
      <c r="B161" s="112">
        <v>1510</v>
      </c>
      <c r="C161" s="112" t="s">
        <v>199</v>
      </c>
      <c r="D161" s="112" t="s">
        <v>33</v>
      </c>
      <c r="E161" s="112">
        <v>1728</v>
      </c>
      <c r="F161" s="113">
        <v>292241</v>
      </c>
      <c r="G161" s="114">
        <v>34.799999999999997</v>
      </c>
      <c r="H161" s="114">
        <v>34.799999999999997</v>
      </c>
      <c r="I161" s="115" t="s">
        <v>42</v>
      </c>
      <c r="J161" s="115"/>
      <c r="K161" s="115" t="s">
        <v>16</v>
      </c>
      <c r="L161" s="115" t="s">
        <v>378</v>
      </c>
      <c r="M161" s="114">
        <v>9713000</v>
      </c>
      <c r="N161" s="114">
        <v>10170000</v>
      </c>
      <c r="O161" s="114">
        <v>9713000</v>
      </c>
      <c r="P161" s="114">
        <v>9572008</v>
      </c>
      <c r="Q161" s="112" t="s">
        <v>466</v>
      </c>
    </row>
    <row r="162" spans="1:17" ht="17.7" customHeight="1">
      <c r="A162" s="111">
        <v>158</v>
      </c>
      <c r="B162" s="112">
        <v>1511</v>
      </c>
      <c r="C162" s="112" t="s">
        <v>200</v>
      </c>
      <c r="D162" s="112" t="s">
        <v>201</v>
      </c>
      <c r="E162" s="112">
        <v>1728</v>
      </c>
      <c r="F162" s="113">
        <v>257349</v>
      </c>
      <c r="G162" s="114">
        <v>42.37</v>
      </c>
      <c r="H162" s="114">
        <v>42.37</v>
      </c>
      <c r="I162" s="115" t="s">
        <v>42</v>
      </c>
      <c r="J162" s="115"/>
      <c r="K162" s="115" t="s">
        <v>16</v>
      </c>
      <c r="L162" s="115" t="s">
        <v>378</v>
      </c>
      <c r="M162" s="114">
        <v>10680000</v>
      </c>
      <c r="N162" s="114">
        <v>10680000</v>
      </c>
      <c r="O162" s="114">
        <v>10903894</v>
      </c>
      <c r="P162" s="114">
        <v>10732493</v>
      </c>
      <c r="Q162" s="112" t="s">
        <v>462</v>
      </c>
    </row>
    <row r="163" spans="1:17" ht="16.95" customHeight="1">
      <c r="A163" s="111">
        <v>159</v>
      </c>
      <c r="B163" s="112">
        <v>1601</v>
      </c>
      <c r="C163" s="112" t="s">
        <v>202</v>
      </c>
      <c r="D163" s="112" t="s">
        <v>15</v>
      </c>
      <c r="E163" s="112">
        <v>1728</v>
      </c>
      <c r="F163" s="113">
        <v>314468</v>
      </c>
      <c r="G163" s="114">
        <v>34.97</v>
      </c>
      <c r="H163" s="114">
        <v>34.97</v>
      </c>
      <c r="I163" s="115" t="s">
        <v>42</v>
      </c>
      <c r="J163" s="115"/>
      <c r="K163" s="115" t="s">
        <v>16</v>
      </c>
      <c r="L163" s="115" t="s">
        <v>378</v>
      </c>
      <c r="M163" s="114">
        <v>10996960</v>
      </c>
      <c r="N163" s="114">
        <v>10996960</v>
      </c>
      <c r="O163" s="114">
        <v>10996960</v>
      </c>
      <c r="P163" s="114">
        <v>10854725</v>
      </c>
      <c r="Q163" s="112" t="s">
        <v>435</v>
      </c>
    </row>
    <row r="164" spans="1:17" ht="17.7" customHeight="1">
      <c r="A164" s="111">
        <v>160</v>
      </c>
      <c r="B164" s="112">
        <v>1602</v>
      </c>
      <c r="C164" s="112" t="s">
        <v>203</v>
      </c>
      <c r="D164" s="112" t="s">
        <v>18</v>
      </c>
      <c r="E164" s="112">
        <v>1728</v>
      </c>
      <c r="F164" s="113">
        <v>362618</v>
      </c>
      <c r="G164" s="114">
        <v>33.92</v>
      </c>
      <c r="H164" s="114">
        <v>33.92</v>
      </c>
      <c r="I164" s="115" t="s">
        <v>42</v>
      </c>
      <c r="J164" s="115"/>
      <c r="K164" s="115" t="s">
        <v>16</v>
      </c>
      <c r="L164" s="115" t="s">
        <v>378</v>
      </c>
      <c r="M164" s="114">
        <v>12300000</v>
      </c>
      <c r="N164" s="114">
        <v>12300000</v>
      </c>
      <c r="O164" s="114">
        <v>12300000</v>
      </c>
      <c r="P164" s="114">
        <v>12300000</v>
      </c>
      <c r="Q164" s="112" t="s">
        <v>467</v>
      </c>
    </row>
    <row r="165" spans="1:17" ht="17.7" customHeight="1">
      <c r="A165" s="111">
        <v>161</v>
      </c>
      <c r="B165" s="112">
        <v>1603</v>
      </c>
      <c r="C165" s="112" t="s">
        <v>204</v>
      </c>
      <c r="D165" s="112" t="s">
        <v>21</v>
      </c>
      <c r="E165" s="112">
        <v>1728</v>
      </c>
      <c r="F165" s="113">
        <v>343553</v>
      </c>
      <c r="G165" s="114">
        <v>34.9</v>
      </c>
      <c r="H165" s="114">
        <v>34.9</v>
      </c>
      <c r="I165" s="115" t="s">
        <v>42</v>
      </c>
      <c r="J165" s="115"/>
      <c r="K165" s="115" t="s">
        <v>16</v>
      </c>
      <c r="L165" s="115" t="s">
        <v>378</v>
      </c>
      <c r="M165" s="114">
        <v>11990000</v>
      </c>
      <c r="N165" s="114">
        <v>11990000</v>
      </c>
      <c r="O165" s="114">
        <v>11990000</v>
      </c>
      <c r="P165" s="114">
        <v>11790000</v>
      </c>
      <c r="Q165" s="112" t="s">
        <v>468</v>
      </c>
    </row>
    <row r="166" spans="1:17" ht="16.95" customHeight="1">
      <c r="A166" s="111">
        <v>162</v>
      </c>
      <c r="B166" s="112">
        <v>1604</v>
      </c>
      <c r="C166" s="112" t="s">
        <v>205</v>
      </c>
      <c r="D166" s="112" t="s">
        <v>21</v>
      </c>
      <c r="E166" s="112">
        <v>1728</v>
      </c>
      <c r="F166" s="113">
        <v>301570</v>
      </c>
      <c r="G166" s="114">
        <v>34.9</v>
      </c>
      <c r="H166" s="114">
        <v>34.9</v>
      </c>
      <c r="I166" s="115" t="s">
        <v>42</v>
      </c>
      <c r="J166" s="115"/>
      <c r="K166" s="115" t="s">
        <v>16</v>
      </c>
      <c r="L166" s="115" t="s">
        <v>378</v>
      </c>
      <c r="M166" s="114">
        <v>10524800</v>
      </c>
      <c r="N166" s="114">
        <v>10524800</v>
      </c>
      <c r="O166" s="114">
        <v>10524800</v>
      </c>
      <c r="P166" s="114">
        <v>10382848</v>
      </c>
      <c r="Q166" s="112" t="s">
        <v>435</v>
      </c>
    </row>
    <row r="167" spans="1:17" ht="17.7" customHeight="1">
      <c r="A167" s="111">
        <v>163</v>
      </c>
      <c r="B167" s="112">
        <v>1605</v>
      </c>
      <c r="C167" s="112" t="s">
        <v>206</v>
      </c>
      <c r="D167" s="112" t="s">
        <v>24</v>
      </c>
      <c r="E167" s="112">
        <v>1728</v>
      </c>
      <c r="F167" s="113">
        <v>301570</v>
      </c>
      <c r="G167" s="114">
        <v>34.9</v>
      </c>
      <c r="H167" s="114">
        <v>34.9</v>
      </c>
      <c r="I167" s="115" t="s">
        <v>42</v>
      </c>
      <c r="J167" s="115"/>
      <c r="K167" s="115" t="s">
        <v>16</v>
      </c>
      <c r="L167" s="115" t="s">
        <v>378</v>
      </c>
      <c r="M167" s="114">
        <v>10524800</v>
      </c>
      <c r="N167" s="114">
        <v>10524800</v>
      </c>
      <c r="O167" s="114">
        <v>10524800</v>
      </c>
      <c r="P167" s="114">
        <v>10382848</v>
      </c>
      <c r="Q167" s="112" t="s">
        <v>469</v>
      </c>
    </row>
    <row r="168" spans="1:17" ht="16.95" customHeight="1">
      <c r="A168" s="111">
        <v>164</v>
      </c>
      <c r="B168" s="112">
        <v>1606</v>
      </c>
      <c r="C168" s="112" t="s">
        <v>207</v>
      </c>
      <c r="D168" s="112" t="s">
        <v>26</v>
      </c>
      <c r="E168" s="112">
        <v>1728</v>
      </c>
      <c r="F168" s="113">
        <v>350530.66</v>
      </c>
      <c r="G168" s="114">
        <v>33.700000000000003</v>
      </c>
      <c r="H168" s="114">
        <v>33.92</v>
      </c>
      <c r="I168" s="115" t="s">
        <v>19</v>
      </c>
      <c r="J168" s="115" t="s">
        <v>530</v>
      </c>
      <c r="K168" s="115" t="s">
        <v>16</v>
      </c>
      <c r="L168" s="115" t="s">
        <v>378</v>
      </c>
      <c r="M168" s="114">
        <v>0</v>
      </c>
      <c r="N168" s="114">
        <v>11890000</v>
      </c>
      <c r="O168" s="114">
        <v>11890000</v>
      </c>
      <c r="P168" s="114">
        <v>0</v>
      </c>
    </row>
    <row r="169" spans="1:17" ht="17.7" customHeight="1">
      <c r="A169" s="111">
        <v>165</v>
      </c>
      <c r="B169" s="112">
        <v>1607</v>
      </c>
      <c r="C169" s="112" t="s">
        <v>208</v>
      </c>
      <c r="D169" s="112" t="s">
        <v>28</v>
      </c>
      <c r="E169" s="112">
        <v>1728</v>
      </c>
      <c r="F169" s="113">
        <v>348138</v>
      </c>
      <c r="G169" s="114">
        <v>34.92</v>
      </c>
      <c r="H169" s="114">
        <v>34.92</v>
      </c>
      <c r="I169" s="115" t="s">
        <v>42</v>
      </c>
      <c r="J169" s="115"/>
      <c r="K169" s="115" t="s">
        <v>16</v>
      </c>
      <c r="L169" s="115" t="s">
        <v>378</v>
      </c>
      <c r="M169" s="114">
        <v>12150000</v>
      </c>
      <c r="N169" s="114">
        <v>12150000</v>
      </c>
      <c r="O169" s="114">
        <v>12156963</v>
      </c>
      <c r="P169" s="114">
        <v>12156963</v>
      </c>
      <c r="Q169" s="112" t="s">
        <v>470</v>
      </c>
    </row>
    <row r="170" spans="1:17" ht="17.7" customHeight="1">
      <c r="A170" s="111">
        <v>166</v>
      </c>
      <c r="B170" s="112">
        <v>1608</v>
      </c>
      <c r="C170" s="112" t="s">
        <v>209</v>
      </c>
      <c r="D170" s="112" t="s">
        <v>30</v>
      </c>
      <c r="E170" s="112">
        <v>1728</v>
      </c>
      <c r="F170" s="113">
        <v>354667</v>
      </c>
      <c r="G170" s="114">
        <v>30.29</v>
      </c>
      <c r="H170" s="114">
        <v>30.29</v>
      </c>
      <c r="I170" s="115" t="s">
        <v>42</v>
      </c>
      <c r="J170" s="115"/>
      <c r="K170" s="115" t="s">
        <v>16</v>
      </c>
      <c r="L170" s="115" t="s">
        <v>378</v>
      </c>
      <c r="M170" s="114">
        <v>10640000</v>
      </c>
      <c r="N170" s="114">
        <v>10640000</v>
      </c>
      <c r="O170" s="114">
        <v>10742854</v>
      </c>
      <c r="P170" s="114">
        <v>10742854</v>
      </c>
      <c r="Q170" s="112" t="s">
        <v>471</v>
      </c>
    </row>
    <row r="171" spans="1:17" ht="16.95" customHeight="1">
      <c r="A171" s="111">
        <v>167</v>
      </c>
      <c r="B171" s="112">
        <v>1609</v>
      </c>
      <c r="C171" s="112" t="s">
        <v>210</v>
      </c>
      <c r="D171" s="112" t="s">
        <v>28</v>
      </c>
      <c r="E171" s="112">
        <v>1728</v>
      </c>
      <c r="F171" s="113">
        <v>292550</v>
      </c>
      <c r="G171" s="114">
        <v>34.9</v>
      </c>
      <c r="H171" s="114">
        <v>34.9</v>
      </c>
      <c r="I171" s="115" t="s">
        <v>42</v>
      </c>
      <c r="J171" s="115"/>
      <c r="K171" s="115" t="s">
        <v>16</v>
      </c>
      <c r="L171" s="115" t="s">
        <v>378</v>
      </c>
      <c r="M171" s="114">
        <v>10210000</v>
      </c>
      <c r="N171" s="114">
        <v>10210000</v>
      </c>
      <c r="O171" s="114">
        <v>10210000</v>
      </c>
      <c r="P171" s="114">
        <v>9868748</v>
      </c>
      <c r="Q171" s="112" t="s">
        <v>472</v>
      </c>
    </row>
    <row r="172" spans="1:17" ht="17.7" customHeight="1">
      <c r="A172" s="111">
        <v>168</v>
      </c>
      <c r="B172" s="112">
        <v>1610</v>
      </c>
      <c r="C172" s="112" t="s">
        <v>211</v>
      </c>
      <c r="D172" s="112" t="s">
        <v>33</v>
      </c>
      <c r="E172" s="112">
        <v>1728</v>
      </c>
      <c r="F172" s="113">
        <v>312478</v>
      </c>
      <c r="G172" s="114">
        <v>34.840000000000003</v>
      </c>
      <c r="H172" s="114">
        <v>34.840000000000003</v>
      </c>
      <c r="I172" s="115" t="s">
        <v>42</v>
      </c>
      <c r="J172" s="115"/>
      <c r="K172" s="115" t="s">
        <v>16</v>
      </c>
      <c r="L172" s="115" t="s">
        <v>378</v>
      </c>
      <c r="M172" s="114">
        <v>10886720</v>
      </c>
      <c r="N172" s="114">
        <v>10886720</v>
      </c>
      <c r="O172" s="114">
        <v>10886720</v>
      </c>
      <c r="P172" s="114">
        <v>10745010</v>
      </c>
      <c r="Q172" s="112" t="s">
        <v>433</v>
      </c>
    </row>
    <row r="173" spans="1:17" ht="17.7" customHeight="1">
      <c r="A173" s="111">
        <v>169</v>
      </c>
      <c r="B173" s="112">
        <v>1701</v>
      </c>
      <c r="C173" s="112" t="s">
        <v>212</v>
      </c>
      <c r="D173" s="112" t="s">
        <v>15</v>
      </c>
      <c r="E173" s="112">
        <v>1728</v>
      </c>
      <c r="F173" s="113">
        <v>328940</v>
      </c>
      <c r="G173" s="114">
        <v>34.97</v>
      </c>
      <c r="H173" s="114">
        <v>34.97</v>
      </c>
      <c r="I173" s="115" t="s">
        <v>42</v>
      </c>
      <c r="J173" s="115"/>
      <c r="K173" s="115" t="s">
        <v>16</v>
      </c>
      <c r="L173" s="115" t="s">
        <v>378</v>
      </c>
      <c r="M173" s="114">
        <v>11480000</v>
      </c>
      <c r="N173" s="114">
        <v>11480000</v>
      </c>
      <c r="O173" s="114">
        <v>11503026</v>
      </c>
      <c r="P173" s="114">
        <v>11503026</v>
      </c>
      <c r="Q173" s="112" t="s">
        <v>473</v>
      </c>
    </row>
    <row r="174" spans="1:17" ht="16.95" customHeight="1">
      <c r="A174" s="111">
        <v>170</v>
      </c>
      <c r="B174" s="112">
        <v>1702</v>
      </c>
      <c r="C174" s="112" t="s">
        <v>213</v>
      </c>
      <c r="D174" s="112" t="s">
        <v>18</v>
      </c>
      <c r="E174" s="112">
        <v>1728</v>
      </c>
      <c r="F174" s="113">
        <v>348071</v>
      </c>
      <c r="G174" s="114">
        <v>33.92</v>
      </c>
      <c r="H174" s="114">
        <v>33.92</v>
      </c>
      <c r="I174" s="115" t="s">
        <v>42</v>
      </c>
      <c r="J174" s="115"/>
      <c r="K174" s="115" t="s">
        <v>16</v>
      </c>
      <c r="L174" s="115" t="s">
        <v>378</v>
      </c>
      <c r="M174" s="114">
        <v>11730000</v>
      </c>
      <c r="N174" s="114">
        <v>11730000</v>
      </c>
      <c r="O174" s="114">
        <v>11806576</v>
      </c>
      <c r="P174" s="114">
        <v>11806576</v>
      </c>
      <c r="Q174" s="112" t="s">
        <v>474</v>
      </c>
    </row>
    <row r="175" spans="1:17" ht="17.7" customHeight="1">
      <c r="A175" s="111">
        <v>171</v>
      </c>
      <c r="B175" s="112">
        <v>1703</v>
      </c>
      <c r="C175" s="112" t="s">
        <v>214</v>
      </c>
      <c r="D175" s="112" t="s">
        <v>21</v>
      </c>
      <c r="E175" s="112">
        <v>1728</v>
      </c>
      <c r="F175" s="113">
        <v>347851</v>
      </c>
      <c r="G175" s="114">
        <v>34.9</v>
      </c>
      <c r="H175" s="114">
        <v>34.9</v>
      </c>
      <c r="I175" s="115" t="s">
        <v>42</v>
      </c>
      <c r="J175" s="115"/>
      <c r="K175" s="115" t="s">
        <v>16</v>
      </c>
      <c r="L175" s="115" t="s">
        <v>378</v>
      </c>
      <c r="M175" s="114">
        <v>12140000</v>
      </c>
      <c r="N175" s="114">
        <v>12140000</v>
      </c>
      <c r="O175" s="114">
        <v>12140000</v>
      </c>
      <c r="P175" s="114">
        <v>12140000</v>
      </c>
      <c r="Q175" s="112" t="s">
        <v>475</v>
      </c>
    </row>
    <row r="176" spans="1:17" ht="16.95" customHeight="1">
      <c r="A176" s="111">
        <v>172</v>
      </c>
      <c r="B176" s="112">
        <v>1704</v>
      </c>
      <c r="C176" s="112" t="s">
        <v>215</v>
      </c>
      <c r="D176" s="112" t="s">
        <v>21</v>
      </c>
      <c r="E176" s="112">
        <v>1728</v>
      </c>
      <c r="F176" s="113">
        <v>301934</v>
      </c>
      <c r="G176" s="114">
        <v>34.9</v>
      </c>
      <c r="H176" s="114">
        <v>34.9</v>
      </c>
      <c r="I176" s="115" t="s">
        <v>42</v>
      </c>
      <c r="J176" s="115"/>
      <c r="K176" s="115" t="s">
        <v>16</v>
      </c>
      <c r="L176" s="115" t="s">
        <v>378</v>
      </c>
      <c r="M176" s="114">
        <v>10537500</v>
      </c>
      <c r="N176" s="114">
        <v>10537500</v>
      </c>
      <c r="O176" s="114">
        <v>10537500</v>
      </c>
      <c r="P176" s="114">
        <v>10194989</v>
      </c>
      <c r="Q176" s="112" t="s">
        <v>476</v>
      </c>
    </row>
    <row r="177" spans="1:17" ht="17.7" customHeight="1">
      <c r="A177" s="111">
        <v>173</v>
      </c>
      <c r="B177" s="112">
        <v>1705</v>
      </c>
      <c r="C177" s="112" t="s">
        <v>216</v>
      </c>
      <c r="D177" s="112" t="s">
        <v>24</v>
      </c>
      <c r="E177" s="112">
        <v>1728</v>
      </c>
      <c r="F177" s="113">
        <v>350716</v>
      </c>
      <c r="G177" s="114">
        <v>34.9</v>
      </c>
      <c r="H177" s="114">
        <v>34.9</v>
      </c>
      <c r="I177" s="115" t="s">
        <v>42</v>
      </c>
      <c r="J177" s="115"/>
      <c r="K177" s="115" t="s">
        <v>16</v>
      </c>
      <c r="L177" s="115" t="s">
        <v>378</v>
      </c>
      <c r="M177" s="114">
        <v>12240000</v>
      </c>
      <c r="N177" s="114">
        <v>12240000</v>
      </c>
      <c r="O177" s="114">
        <v>12240000</v>
      </c>
      <c r="P177" s="114">
        <v>12240000</v>
      </c>
      <c r="Q177" s="112" t="s">
        <v>477</v>
      </c>
    </row>
    <row r="178" spans="1:17" ht="17.7" customHeight="1">
      <c r="A178" s="111">
        <v>174</v>
      </c>
      <c r="B178" s="112">
        <v>1706</v>
      </c>
      <c r="C178" s="112" t="s">
        <v>217</v>
      </c>
      <c r="D178" s="112" t="s">
        <v>26</v>
      </c>
      <c r="E178" s="112">
        <v>1728</v>
      </c>
      <c r="F178" s="113">
        <v>355490</v>
      </c>
      <c r="G178" s="114">
        <v>33.92</v>
      </c>
      <c r="H178" s="114">
        <v>33.92</v>
      </c>
      <c r="I178" s="115" t="s">
        <v>42</v>
      </c>
      <c r="J178" s="115"/>
      <c r="K178" s="115" t="s">
        <v>16</v>
      </c>
      <c r="L178" s="115" t="s">
        <v>378</v>
      </c>
      <c r="M178" s="114">
        <v>11980000</v>
      </c>
      <c r="N178" s="114">
        <v>11980000</v>
      </c>
      <c r="O178" s="114">
        <v>12058208</v>
      </c>
      <c r="P178" s="114">
        <v>12058208</v>
      </c>
      <c r="Q178" s="112" t="s">
        <v>478</v>
      </c>
    </row>
    <row r="179" spans="1:17" ht="16.95" customHeight="1">
      <c r="A179" s="111">
        <v>175</v>
      </c>
      <c r="B179" s="112">
        <v>1707</v>
      </c>
      <c r="C179" s="112" t="s">
        <v>218</v>
      </c>
      <c r="D179" s="112" t="s">
        <v>28</v>
      </c>
      <c r="E179" s="112">
        <v>1728</v>
      </c>
      <c r="F179" s="113">
        <v>301761</v>
      </c>
      <c r="G179" s="114">
        <v>34.92</v>
      </c>
      <c r="H179" s="114">
        <v>34.92</v>
      </c>
      <c r="I179" s="115" t="s">
        <v>42</v>
      </c>
      <c r="J179" s="115"/>
      <c r="K179" s="115" t="s">
        <v>16</v>
      </c>
      <c r="L179" s="115" t="s">
        <v>378</v>
      </c>
      <c r="M179" s="114">
        <v>10537500</v>
      </c>
      <c r="N179" s="114">
        <v>10537500</v>
      </c>
      <c r="O179" s="114">
        <v>10537500</v>
      </c>
      <c r="P179" s="114">
        <v>10194908.4</v>
      </c>
      <c r="Q179" s="112" t="s">
        <v>479</v>
      </c>
    </row>
    <row r="180" spans="1:17" ht="16.95" customHeight="1">
      <c r="A180" s="111">
        <v>176</v>
      </c>
      <c r="B180" s="112">
        <v>1708</v>
      </c>
      <c r="C180" s="112" t="s">
        <v>219</v>
      </c>
      <c r="D180" s="112" t="s">
        <v>30</v>
      </c>
      <c r="E180" s="112">
        <v>1728</v>
      </c>
      <c r="F180" s="113">
        <v>319412</v>
      </c>
      <c r="G180" s="114">
        <v>30.29</v>
      </c>
      <c r="H180" s="114">
        <v>30.29</v>
      </c>
      <c r="I180" s="115" t="s">
        <v>42</v>
      </c>
      <c r="J180" s="115"/>
      <c r="K180" s="115" t="s">
        <v>16</v>
      </c>
      <c r="L180" s="115" t="s">
        <v>378</v>
      </c>
      <c r="M180" s="114">
        <v>9675000</v>
      </c>
      <c r="N180" s="114">
        <v>9675000</v>
      </c>
      <c r="O180" s="114">
        <v>9675000</v>
      </c>
      <c r="P180" s="114">
        <v>9351154.8000000007</v>
      </c>
      <c r="Q180" s="112" t="s">
        <v>479</v>
      </c>
    </row>
    <row r="181" spans="1:17" ht="17.7" customHeight="1">
      <c r="A181" s="111">
        <v>177</v>
      </c>
      <c r="B181" s="112">
        <v>1709</v>
      </c>
      <c r="C181" s="112" t="s">
        <v>220</v>
      </c>
      <c r="D181" s="112" t="s">
        <v>28</v>
      </c>
      <c r="E181" s="112">
        <v>1728</v>
      </c>
      <c r="F181" s="113">
        <v>301934</v>
      </c>
      <c r="G181" s="114">
        <v>34.9</v>
      </c>
      <c r="H181" s="114">
        <v>34.9</v>
      </c>
      <c r="I181" s="115" t="s">
        <v>42</v>
      </c>
      <c r="J181" s="115"/>
      <c r="K181" s="115" t="s">
        <v>16</v>
      </c>
      <c r="L181" s="115" t="s">
        <v>378</v>
      </c>
      <c r="M181" s="114">
        <v>10537500</v>
      </c>
      <c r="N181" s="114">
        <v>10537500</v>
      </c>
      <c r="O181" s="114">
        <v>10537500</v>
      </c>
      <c r="P181" s="114">
        <v>10194989</v>
      </c>
      <c r="Q181" s="112" t="s">
        <v>479</v>
      </c>
    </row>
    <row r="182" spans="1:17" ht="17.7" customHeight="1">
      <c r="A182" s="111">
        <v>178</v>
      </c>
      <c r="B182" s="112">
        <v>1710</v>
      </c>
      <c r="C182" s="112" t="s">
        <v>221</v>
      </c>
      <c r="D182" s="112" t="s">
        <v>33</v>
      </c>
      <c r="E182" s="112">
        <v>1728</v>
      </c>
      <c r="F182" s="113">
        <v>330080</v>
      </c>
      <c r="G182" s="114">
        <v>34.840000000000003</v>
      </c>
      <c r="H182" s="114">
        <v>34.840000000000003</v>
      </c>
      <c r="I182" s="115" t="s">
        <v>42</v>
      </c>
      <c r="J182" s="115"/>
      <c r="K182" s="115" t="s">
        <v>16</v>
      </c>
      <c r="L182" s="115" t="s">
        <v>378</v>
      </c>
      <c r="M182" s="114">
        <v>11500000</v>
      </c>
      <c r="N182" s="114">
        <v>11500000</v>
      </c>
      <c r="O182" s="114">
        <v>11500000</v>
      </c>
      <c r="P182" s="114">
        <v>11357732.800000001</v>
      </c>
      <c r="Q182" s="112" t="s">
        <v>480</v>
      </c>
    </row>
    <row r="183" spans="1:17" ht="16.95" customHeight="1">
      <c r="A183" s="111">
        <v>179</v>
      </c>
      <c r="B183" s="112">
        <v>1801</v>
      </c>
      <c r="C183" s="112" t="s">
        <v>222</v>
      </c>
      <c r="D183" s="112" t="s">
        <v>15</v>
      </c>
      <c r="E183" s="112">
        <v>1728</v>
      </c>
      <c r="F183" s="113">
        <v>347154.7</v>
      </c>
      <c r="G183" s="114">
        <v>34.9</v>
      </c>
      <c r="H183" s="114">
        <v>34.97</v>
      </c>
      <c r="I183" s="115" t="s">
        <v>19</v>
      </c>
      <c r="J183" s="115" t="s">
        <v>529</v>
      </c>
      <c r="K183" s="115" t="s">
        <v>16</v>
      </c>
      <c r="L183" s="115" t="s">
        <v>378</v>
      </c>
      <c r="M183" s="114">
        <v>0</v>
      </c>
      <c r="N183" s="114">
        <v>12140000</v>
      </c>
      <c r="O183" s="114">
        <v>12140000</v>
      </c>
      <c r="P183" s="114">
        <v>0</v>
      </c>
    </row>
    <row r="184" spans="1:17" ht="17.7" customHeight="1">
      <c r="A184" s="111">
        <v>180</v>
      </c>
      <c r="B184" s="112">
        <v>1802</v>
      </c>
      <c r="C184" s="112" t="s">
        <v>223</v>
      </c>
      <c r="D184" s="112" t="s">
        <v>18</v>
      </c>
      <c r="E184" s="112">
        <v>1728</v>
      </c>
      <c r="F184" s="113">
        <v>291691</v>
      </c>
      <c r="G184" s="114">
        <v>33.92</v>
      </c>
      <c r="H184" s="114">
        <v>33.92</v>
      </c>
      <c r="I184" s="115" t="s">
        <v>42</v>
      </c>
      <c r="J184" s="115"/>
      <c r="K184" s="115" t="s">
        <v>16</v>
      </c>
      <c r="L184" s="115" t="s">
        <v>378</v>
      </c>
      <c r="M184" s="114">
        <v>9600000</v>
      </c>
      <c r="N184" s="114">
        <v>9830000</v>
      </c>
      <c r="O184" s="114">
        <v>9664173</v>
      </c>
      <c r="P184" s="114">
        <v>9325121</v>
      </c>
      <c r="Q184" s="112" t="s">
        <v>481</v>
      </c>
    </row>
    <row r="185" spans="1:17" ht="16.95" customHeight="1">
      <c r="A185" s="111">
        <v>181</v>
      </c>
      <c r="B185" s="112">
        <v>1803</v>
      </c>
      <c r="C185" s="112" t="s">
        <v>224</v>
      </c>
      <c r="D185" s="112" t="s">
        <v>21</v>
      </c>
      <c r="E185" s="112">
        <v>1728</v>
      </c>
      <c r="F185" s="113">
        <v>348424.07</v>
      </c>
      <c r="G185" s="114">
        <v>34.9</v>
      </c>
      <c r="H185" s="114">
        <v>34.9</v>
      </c>
      <c r="I185" s="115" t="s">
        <v>19</v>
      </c>
      <c r="J185" s="115" t="s">
        <v>529</v>
      </c>
      <c r="K185" s="115" t="s">
        <v>16</v>
      </c>
      <c r="L185" s="115" t="s">
        <v>378</v>
      </c>
      <c r="M185" s="114">
        <v>0</v>
      </c>
      <c r="N185" s="114">
        <v>12160000</v>
      </c>
      <c r="O185" s="114">
        <v>12160000</v>
      </c>
      <c r="P185" s="114">
        <v>0</v>
      </c>
    </row>
    <row r="186" spans="1:17" ht="17.7" customHeight="1">
      <c r="A186" s="111">
        <v>182</v>
      </c>
      <c r="B186" s="112">
        <v>1804</v>
      </c>
      <c r="C186" s="112" t="s">
        <v>225</v>
      </c>
      <c r="D186" s="112" t="s">
        <v>21</v>
      </c>
      <c r="E186" s="112">
        <v>1728</v>
      </c>
      <c r="F186" s="113">
        <v>348424.07</v>
      </c>
      <c r="G186" s="114">
        <v>34.9</v>
      </c>
      <c r="H186" s="114">
        <v>34.9</v>
      </c>
      <c r="I186" s="115" t="s">
        <v>19</v>
      </c>
      <c r="J186" s="115" t="s">
        <v>529</v>
      </c>
      <c r="K186" s="115" t="s">
        <v>16</v>
      </c>
      <c r="L186" s="115" t="s">
        <v>378</v>
      </c>
      <c r="M186" s="114">
        <v>0</v>
      </c>
      <c r="N186" s="114">
        <v>12160000</v>
      </c>
      <c r="O186" s="114">
        <v>12160000</v>
      </c>
      <c r="P186" s="114">
        <v>0</v>
      </c>
    </row>
    <row r="187" spans="1:17" ht="17.7" customHeight="1">
      <c r="A187" s="111">
        <v>183</v>
      </c>
      <c r="B187" s="112">
        <v>1805</v>
      </c>
      <c r="C187" s="112" t="s">
        <v>226</v>
      </c>
      <c r="D187" s="112" t="s">
        <v>24</v>
      </c>
      <c r="E187" s="112">
        <v>1728</v>
      </c>
      <c r="F187" s="113">
        <v>298109</v>
      </c>
      <c r="G187" s="114">
        <v>34.9</v>
      </c>
      <c r="H187" s="114">
        <v>34.9</v>
      </c>
      <c r="I187" s="115" t="s">
        <v>42</v>
      </c>
      <c r="J187" s="115"/>
      <c r="K187" s="115" t="s">
        <v>16</v>
      </c>
      <c r="L187" s="115" t="s">
        <v>378</v>
      </c>
      <c r="M187" s="114">
        <v>9779000</v>
      </c>
      <c r="N187" s="114">
        <v>10404000</v>
      </c>
      <c r="O187" s="114">
        <v>9779000</v>
      </c>
      <c r="P187" s="114">
        <v>9636666</v>
      </c>
      <c r="Q187" s="112" t="s">
        <v>482</v>
      </c>
    </row>
    <row r="188" spans="1:17" ht="16.95" customHeight="1">
      <c r="A188" s="111">
        <v>184</v>
      </c>
      <c r="B188" s="112">
        <v>1806</v>
      </c>
      <c r="C188" s="112" t="s">
        <v>227</v>
      </c>
      <c r="D188" s="112" t="s">
        <v>26</v>
      </c>
      <c r="E188" s="112">
        <v>1728</v>
      </c>
      <c r="F188" s="113">
        <v>297923</v>
      </c>
      <c r="G188" s="114">
        <v>33.92</v>
      </c>
      <c r="H188" s="114">
        <v>33.92</v>
      </c>
      <c r="I188" s="115" t="s">
        <v>42</v>
      </c>
      <c r="J188" s="115"/>
      <c r="K188" s="115" t="s">
        <v>16</v>
      </c>
      <c r="L188" s="115" t="s">
        <v>378</v>
      </c>
      <c r="M188" s="114">
        <v>9740000</v>
      </c>
      <c r="N188" s="114">
        <v>10040000</v>
      </c>
      <c r="O188" s="114">
        <v>9805544</v>
      </c>
      <c r="P188" s="114">
        <v>9666492</v>
      </c>
      <c r="Q188" s="112" t="s">
        <v>483</v>
      </c>
    </row>
    <row r="189" spans="1:17" ht="17.7" customHeight="1">
      <c r="A189" s="111">
        <v>185</v>
      </c>
      <c r="B189" s="112">
        <v>1807</v>
      </c>
      <c r="C189" s="112" t="s">
        <v>228</v>
      </c>
      <c r="D189" s="112" t="s">
        <v>28</v>
      </c>
      <c r="E189" s="112">
        <v>1728</v>
      </c>
      <c r="F189" s="113">
        <v>274914</v>
      </c>
      <c r="G189" s="114">
        <v>34.92</v>
      </c>
      <c r="H189" s="114">
        <v>34.92</v>
      </c>
      <c r="I189" s="115" t="s">
        <v>42</v>
      </c>
      <c r="J189" s="115"/>
      <c r="K189" s="115" t="s">
        <v>16</v>
      </c>
      <c r="L189" s="115" t="s">
        <v>378</v>
      </c>
      <c r="M189" s="114">
        <v>9600000</v>
      </c>
      <c r="N189" s="114">
        <v>9600000</v>
      </c>
      <c r="O189" s="114">
        <v>9600000</v>
      </c>
      <c r="P189" s="114">
        <v>9419170.8000000007</v>
      </c>
      <c r="Q189" s="112" t="s">
        <v>484</v>
      </c>
    </row>
    <row r="190" spans="1:17" ht="17.7" customHeight="1">
      <c r="A190" s="111">
        <v>186</v>
      </c>
      <c r="B190" s="112">
        <v>1808</v>
      </c>
      <c r="C190" s="112" t="s">
        <v>229</v>
      </c>
      <c r="D190" s="112" t="s">
        <v>30</v>
      </c>
      <c r="E190" s="112">
        <v>1728</v>
      </c>
      <c r="F190" s="113">
        <v>294333</v>
      </c>
      <c r="G190" s="114">
        <v>30.29</v>
      </c>
      <c r="H190" s="114">
        <v>30.29</v>
      </c>
      <c r="I190" s="115" t="s">
        <v>42</v>
      </c>
      <c r="J190" s="115"/>
      <c r="K190" s="115" t="s">
        <v>16</v>
      </c>
      <c r="L190" s="115" t="s">
        <v>378</v>
      </c>
      <c r="M190" s="114">
        <v>8433000</v>
      </c>
      <c r="N190" s="114">
        <v>8830000</v>
      </c>
      <c r="O190" s="114">
        <v>8518357</v>
      </c>
      <c r="P190" s="114">
        <v>8394057</v>
      </c>
      <c r="Q190" s="112" t="s">
        <v>464</v>
      </c>
    </row>
    <row r="191" spans="1:17" ht="16.95" customHeight="1">
      <c r="A191" s="111">
        <v>187</v>
      </c>
      <c r="B191" s="112">
        <v>1809</v>
      </c>
      <c r="C191" s="112" t="s">
        <v>230</v>
      </c>
      <c r="D191" s="112" t="s">
        <v>28</v>
      </c>
      <c r="E191" s="112">
        <v>1728</v>
      </c>
      <c r="F191" s="113">
        <v>349856.73</v>
      </c>
      <c r="G191" s="114">
        <v>34.9</v>
      </c>
      <c r="H191" s="114">
        <v>34.9</v>
      </c>
      <c r="I191" s="115" t="s">
        <v>19</v>
      </c>
      <c r="J191" s="115" t="s">
        <v>529</v>
      </c>
      <c r="K191" s="115" t="s">
        <v>16</v>
      </c>
      <c r="L191" s="115" t="s">
        <v>378</v>
      </c>
      <c r="M191" s="114">
        <v>0</v>
      </c>
      <c r="N191" s="114">
        <v>12210000</v>
      </c>
      <c r="O191" s="114">
        <v>12210000</v>
      </c>
      <c r="P191" s="114">
        <v>0</v>
      </c>
    </row>
    <row r="192" spans="1:17" ht="17.7" customHeight="1">
      <c r="A192" s="111">
        <v>188</v>
      </c>
      <c r="B192" s="112">
        <v>1810</v>
      </c>
      <c r="C192" s="112" t="s">
        <v>231</v>
      </c>
      <c r="D192" s="112" t="s">
        <v>33</v>
      </c>
      <c r="E192" s="112">
        <v>1728</v>
      </c>
      <c r="F192" s="113">
        <v>360218.14</v>
      </c>
      <c r="G192" s="114">
        <v>34.799999999999997</v>
      </c>
      <c r="H192" s="114">
        <v>34.840000000000003</v>
      </c>
      <c r="I192" s="115" t="s">
        <v>19</v>
      </c>
      <c r="J192" s="115" t="s">
        <v>529</v>
      </c>
      <c r="K192" s="115" t="s">
        <v>16</v>
      </c>
      <c r="L192" s="115" t="s">
        <v>378</v>
      </c>
      <c r="M192" s="114">
        <v>0</v>
      </c>
      <c r="N192" s="114">
        <v>12550000</v>
      </c>
      <c r="O192" s="114">
        <v>12550000</v>
      </c>
      <c r="P192" s="114">
        <v>0</v>
      </c>
    </row>
    <row r="193" spans="1:17" ht="16.95" customHeight="1">
      <c r="A193" s="111">
        <v>189</v>
      </c>
      <c r="B193" s="112">
        <v>2101</v>
      </c>
      <c r="C193" s="112" t="s">
        <v>232</v>
      </c>
      <c r="D193" s="112" t="s">
        <v>15</v>
      </c>
      <c r="E193" s="112">
        <v>1728</v>
      </c>
      <c r="F193" s="113">
        <v>257020</v>
      </c>
      <c r="G193" s="114">
        <v>34.97</v>
      </c>
      <c r="H193" s="114">
        <v>34.97</v>
      </c>
      <c r="I193" s="115" t="s">
        <v>42</v>
      </c>
      <c r="J193" s="115"/>
      <c r="K193" s="115" t="s">
        <v>16</v>
      </c>
      <c r="L193" s="115" t="s">
        <v>378</v>
      </c>
      <c r="M193" s="114">
        <v>7982008</v>
      </c>
      <c r="N193" s="114">
        <v>8970000</v>
      </c>
      <c r="O193" s="114">
        <v>8000000</v>
      </c>
      <c r="P193" s="114">
        <v>7855072</v>
      </c>
      <c r="Q193" s="112" t="s">
        <v>485</v>
      </c>
    </row>
    <row r="194" spans="1:17" ht="17.7" customHeight="1">
      <c r="A194" s="111">
        <v>190</v>
      </c>
      <c r="B194" s="112">
        <v>2102</v>
      </c>
      <c r="C194" s="112" t="s">
        <v>233</v>
      </c>
      <c r="D194" s="112" t="s">
        <v>18</v>
      </c>
      <c r="E194" s="112">
        <v>1728</v>
      </c>
      <c r="F194" s="113">
        <v>275649</v>
      </c>
      <c r="G194" s="114">
        <v>33.92</v>
      </c>
      <c r="H194" s="114">
        <v>33.92</v>
      </c>
      <c r="I194" s="115" t="s">
        <v>42</v>
      </c>
      <c r="J194" s="115"/>
      <c r="K194" s="115" t="s">
        <v>16</v>
      </c>
      <c r="L194" s="115" t="s">
        <v>378</v>
      </c>
      <c r="M194" s="114">
        <v>9350000</v>
      </c>
      <c r="N194" s="114">
        <v>9350000</v>
      </c>
      <c r="O194" s="114">
        <v>9350000</v>
      </c>
      <c r="P194" s="114">
        <v>9209388.4000000004</v>
      </c>
      <c r="Q194" s="112" t="s">
        <v>486</v>
      </c>
    </row>
    <row r="195" spans="1:17" ht="17.7" customHeight="1">
      <c r="A195" s="111">
        <v>191</v>
      </c>
      <c r="B195" s="112">
        <v>2103</v>
      </c>
      <c r="C195" s="112" t="s">
        <v>234</v>
      </c>
      <c r="D195" s="112" t="s">
        <v>21</v>
      </c>
      <c r="E195" s="112">
        <v>1728</v>
      </c>
      <c r="F195" s="113">
        <v>300287</v>
      </c>
      <c r="G195" s="114">
        <v>34.9</v>
      </c>
      <c r="H195" s="114">
        <v>34.9</v>
      </c>
      <c r="I195" s="115" t="s">
        <v>42</v>
      </c>
      <c r="J195" s="115"/>
      <c r="K195" s="115" t="s">
        <v>16</v>
      </c>
      <c r="L195" s="115" t="s">
        <v>378</v>
      </c>
      <c r="M195" s="114">
        <v>10300000</v>
      </c>
      <c r="N195" s="114">
        <v>10480000</v>
      </c>
      <c r="O195" s="114">
        <v>10300000</v>
      </c>
      <c r="P195" s="114">
        <v>10156061</v>
      </c>
      <c r="Q195" s="112" t="s">
        <v>487</v>
      </c>
    </row>
    <row r="196" spans="1:17" ht="16.95" customHeight="1">
      <c r="A196" s="111">
        <v>192</v>
      </c>
      <c r="B196" s="112">
        <v>2104</v>
      </c>
      <c r="C196" s="112" t="s">
        <v>235</v>
      </c>
      <c r="D196" s="112" t="s">
        <v>21</v>
      </c>
      <c r="E196" s="112">
        <v>1728</v>
      </c>
      <c r="F196" s="113">
        <v>356446.99</v>
      </c>
      <c r="G196" s="114">
        <v>34.9</v>
      </c>
      <c r="H196" s="114">
        <v>34.9</v>
      </c>
      <c r="I196" s="115" t="s">
        <v>19</v>
      </c>
      <c r="J196" s="115" t="s">
        <v>529</v>
      </c>
      <c r="K196" s="115" t="s">
        <v>16</v>
      </c>
      <c r="L196" s="115" t="s">
        <v>378</v>
      </c>
      <c r="M196" s="114">
        <v>0</v>
      </c>
      <c r="N196" s="114">
        <v>12440000</v>
      </c>
      <c r="O196" s="114">
        <v>12440000</v>
      </c>
      <c r="P196" s="114">
        <v>0</v>
      </c>
    </row>
    <row r="197" spans="1:17" ht="17.7" customHeight="1">
      <c r="A197" s="111">
        <v>193</v>
      </c>
      <c r="B197" s="112">
        <v>2105</v>
      </c>
      <c r="C197" s="112" t="s">
        <v>236</v>
      </c>
      <c r="D197" s="112" t="s">
        <v>24</v>
      </c>
      <c r="E197" s="112">
        <v>1728</v>
      </c>
      <c r="F197" s="113">
        <v>356446.99</v>
      </c>
      <c r="G197" s="114">
        <v>34.9</v>
      </c>
      <c r="H197" s="114">
        <v>34.9</v>
      </c>
      <c r="I197" s="115" t="s">
        <v>19</v>
      </c>
      <c r="J197" s="115" t="s">
        <v>532</v>
      </c>
      <c r="K197" s="115" t="s">
        <v>16</v>
      </c>
      <c r="L197" s="115" t="s">
        <v>378</v>
      </c>
      <c r="M197" s="114">
        <v>0</v>
      </c>
      <c r="N197" s="114">
        <v>12440000</v>
      </c>
      <c r="O197" s="114">
        <v>12440000</v>
      </c>
      <c r="P197" s="114">
        <v>0</v>
      </c>
    </row>
    <row r="198" spans="1:17" ht="17.7" customHeight="1">
      <c r="A198" s="111">
        <v>194</v>
      </c>
      <c r="B198" s="112">
        <v>2106</v>
      </c>
      <c r="C198" s="112" t="s">
        <v>237</v>
      </c>
      <c r="D198" s="112" t="s">
        <v>26</v>
      </c>
      <c r="E198" s="112">
        <v>1728</v>
      </c>
      <c r="F198" s="113">
        <v>287092</v>
      </c>
      <c r="G198" s="114">
        <v>33.92</v>
      </c>
      <c r="H198" s="114">
        <v>33.92</v>
      </c>
      <c r="I198" s="115" t="s">
        <v>42</v>
      </c>
      <c r="J198" s="115"/>
      <c r="K198" s="115" t="s">
        <v>16</v>
      </c>
      <c r="L198" s="115" t="s">
        <v>378</v>
      </c>
      <c r="M198" s="114">
        <v>9675000</v>
      </c>
      <c r="N198" s="114">
        <v>10130000</v>
      </c>
      <c r="O198" s="114">
        <v>9738161</v>
      </c>
      <c r="P198" s="114">
        <v>9560915.8000000007</v>
      </c>
      <c r="Q198" s="112" t="s">
        <v>488</v>
      </c>
    </row>
    <row r="199" spans="1:17" ht="16.95" customHeight="1">
      <c r="A199" s="111">
        <v>195</v>
      </c>
      <c r="B199" s="112">
        <v>2107</v>
      </c>
      <c r="C199" s="112" t="s">
        <v>238</v>
      </c>
      <c r="D199" s="112" t="s">
        <v>239</v>
      </c>
      <c r="E199" s="112">
        <v>1728</v>
      </c>
      <c r="F199" s="113">
        <v>303944</v>
      </c>
      <c r="G199" s="114">
        <v>35.69</v>
      </c>
      <c r="H199" s="114">
        <v>35.69</v>
      </c>
      <c r="I199" s="115" t="s">
        <v>42</v>
      </c>
      <c r="J199" s="115"/>
      <c r="K199" s="115" t="s">
        <v>16</v>
      </c>
      <c r="L199" s="115" t="s">
        <v>378</v>
      </c>
      <c r="M199" s="114">
        <v>10305000</v>
      </c>
      <c r="N199" s="114">
        <v>10790000</v>
      </c>
      <c r="O199" s="114">
        <v>10362750</v>
      </c>
      <c r="P199" s="114">
        <v>10214863</v>
      </c>
      <c r="Q199" s="112" t="s">
        <v>489</v>
      </c>
    </row>
    <row r="200" spans="1:17" ht="17.7" customHeight="1">
      <c r="A200" s="111">
        <v>196</v>
      </c>
      <c r="B200" s="112">
        <v>2201</v>
      </c>
      <c r="C200" s="112" t="s">
        <v>240</v>
      </c>
      <c r="D200" s="112" t="s">
        <v>241</v>
      </c>
      <c r="E200" s="112">
        <v>1728</v>
      </c>
      <c r="F200" s="113">
        <v>256630</v>
      </c>
      <c r="G200" s="114">
        <v>35.07</v>
      </c>
      <c r="H200" s="114">
        <v>35.07</v>
      </c>
      <c r="I200" s="115" t="s">
        <v>42</v>
      </c>
      <c r="J200" s="115"/>
      <c r="K200" s="115" t="s">
        <v>16</v>
      </c>
      <c r="L200" s="115" t="s">
        <v>378</v>
      </c>
      <c r="M200" s="114">
        <v>9000000</v>
      </c>
      <c r="N200" s="114">
        <v>9000000</v>
      </c>
      <c r="O200" s="114">
        <v>9000000</v>
      </c>
      <c r="P200" s="114">
        <v>9000000</v>
      </c>
      <c r="Q200" s="112" t="s">
        <v>490</v>
      </c>
    </row>
    <row r="201" spans="1:17" ht="16.95" customHeight="1">
      <c r="A201" s="111">
        <v>197</v>
      </c>
      <c r="B201" s="112">
        <v>2202</v>
      </c>
      <c r="C201" s="112" t="s">
        <v>242</v>
      </c>
      <c r="D201" s="112" t="s">
        <v>243</v>
      </c>
      <c r="E201" s="112">
        <v>1728</v>
      </c>
      <c r="F201" s="113">
        <v>245640</v>
      </c>
      <c r="G201" s="114">
        <v>50.1</v>
      </c>
      <c r="H201" s="114">
        <v>50.1</v>
      </c>
      <c r="I201" s="115" t="s">
        <v>42</v>
      </c>
      <c r="J201" s="115"/>
      <c r="K201" s="115" t="s">
        <v>16</v>
      </c>
      <c r="L201" s="115" t="s">
        <v>378</v>
      </c>
      <c r="M201" s="114">
        <v>12282000</v>
      </c>
      <c r="N201" s="114">
        <v>12860000</v>
      </c>
      <c r="O201" s="114">
        <v>12306564</v>
      </c>
      <c r="P201" s="114">
        <v>12098701</v>
      </c>
      <c r="Q201" s="112" t="s">
        <v>491</v>
      </c>
    </row>
    <row r="202" spans="1:17" ht="17.7" customHeight="1">
      <c r="A202" s="111">
        <v>198</v>
      </c>
      <c r="B202" s="112">
        <v>2203</v>
      </c>
      <c r="C202" s="112" t="s">
        <v>244</v>
      </c>
      <c r="D202" s="112" t="s">
        <v>245</v>
      </c>
      <c r="E202" s="112">
        <v>1728</v>
      </c>
      <c r="F202" s="113">
        <v>259315</v>
      </c>
      <c r="G202" s="114">
        <v>73.040000000000006</v>
      </c>
      <c r="H202" s="114">
        <v>73.040000000000006</v>
      </c>
      <c r="I202" s="115" t="s">
        <v>42</v>
      </c>
      <c r="J202" s="115"/>
      <c r="K202" s="115" t="s">
        <v>16</v>
      </c>
      <c r="L202" s="115" t="s">
        <v>378</v>
      </c>
      <c r="M202" s="114">
        <v>18362100</v>
      </c>
      <c r="N202" s="114">
        <v>18930000</v>
      </c>
      <c r="O202" s="114">
        <v>18372472</v>
      </c>
      <c r="P202" s="114">
        <v>18070681</v>
      </c>
      <c r="Q202" s="112" t="s">
        <v>492</v>
      </c>
    </row>
    <row r="203" spans="1:17" ht="17.7" customHeight="1">
      <c r="A203" s="111">
        <v>199</v>
      </c>
      <c r="B203" s="112">
        <v>2204</v>
      </c>
      <c r="C203" s="112" t="s">
        <v>246</v>
      </c>
      <c r="D203" s="112" t="s">
        <v>247</v>
      </c>
      <c r="E203" s="112">
        <v>1728</v>
      </c>
      <c r="F203" s="113">
        <v>315169.65999999997</v>
      </c>
      <c r="G203" s="114">
        <v>50</v>
      </c>
      <c r="H203" s="114">
        <v>50.1</v>
      </c>
      <c r="I203" s="115" t="s">
        <v>19</v>
      </c>
      <c r="J203" s="115" t="s">
        <v>529</v>
      </c>
      <c r="K203" s="115" t="s">
        <v>16</v>
      </c>
      <c r="L203" s="115" t="s">
        <v>378</v>
      </c>
      <c r="M203" s="114">
        <v>0</v>
      </c>
      <c r="N203" s="114">
        <v>15790000</v>
      </c>
      <c r="O203" s="114">
        <v>15790000</v>
      </c>
      <c r="P203" s="114">
        <v>0</v>
      </c>
    </row>
    <row r="204" spans="1:17" ht="16.95" customHeight="1">
      <c r="A204" s="111">
        <v>200</v>
      </c>
      <c r="B204" s="112">
        <v>2205</v>
      </c>
      <c r="C204" s="112" t="s">
        <v>248</v>
      </c>
      <c r="D204" s="112" t="s">
        <v>249</v>
      </c>
      <c r="E204" s="112">
        <v>1728</v>
      </c>
      <c r="F204" s="113">
        <v>321200.33</v>
      </c>
      <c r="G204" s="114">
        <v>35.4</v>
      </c>
      <c r="H204" s="114">
        <v>35.99</v>
      </c>
      <c r="I204" s="115" t="s">
        <v>19</v>
      </c>
      <c r="J204" s="115" t="s">
        <v>532</v>
      </c>
      <c r="K204" s="115" t="s">
        <v>16</v>
      </c>
      <c r="L204" s="115" t="s">
        <v>378</v>
      </c>
      <c r="M204" s="114">
        <v>0</v>
      </c>
      <c r="N204" s="114">
        <v>11560000</v>
      </c>
      <c r="O204" s="114">
        <v>11560000</v>
      </c>
      <c r="P204" s="114">
        <v>0</v>
      </c>
    </row>
    <row r="205" spans="1:17" ht="16.95" customHeight="1">
      <c r="A205" s="111">
        <v>201</v>
      </c>
      <c r="B205" s="112">
        <v>2206</v>
      </c>
      <c r="C205" s="112" t="s">
        <v>250</v>
      </c>
      <c r="D205" s="112" t="s">
        <v>251</v>
      </c>
      <c r="E205" s="112">
        <v>1728</v>
      </c>
      <c r="F205" s="113">
        <v>323768.12</v>
      </c>
      <c r="G205" s="114">
        <v>69</v>
      </c>
      <c r="H205" s="114">
        <v>69</v>
      </c>
      <c r="I205" s="115" t="s">
        <v>19</v>
      </c>
      <c r="J205" s="115" t="s">
        <v>529</v>
      </c>
      <c r="K205" s="115" t="s">
        <v>16</v>
      </c>
      <c r="L205" s="115" t="s">
        <v>378</v>
      </c>
      <c r="M205" s="114">
        <v>0</v>
      </c>
      <c r="N205" s="114">
        <v>22340000</v>
      </c>
      <c r="O205" s="114">
        <v>22340000</v>
      </c>
      <c r="P205" s="114">
        <v>0</v>
      </c>
    </row>
    <row r="206" spans="1:17" ht="17.7" customHeight="1">
      <c r="A206" s="111">
        <v>202</v>
      </c>
      <c r="B206" s="112">
        <v>2301</v>
      </c>
      <c r="C206" s="112" t="s">
        <v>252</v>
      </c>
      <c r="D206" s="112" t="s">
        <v>241</v>
      </c>
      <c r="E206" s="112">
        <v>1728</v>
      </c>
      <c r="F206" s="113">
        <v>331907.61</v>
      </c>
      <c r="G206" s="114">
        <v>34.9</v>
      </c>
      <c r="H206" s="114">
        <v>35.07</v>
      </c>
      <c r="I206" s="115" t="s">
        <v>19</v>
      </c>
      <c r="J206" s="115" t="s">
        <v>530</v>
      </c>
      <c r="K206" s="115" t="s">
        <v>16</v>
      </c>
      <c r="L206" s="115" t="s">
        <v>378</v>
      </c>
      <c r="M206" s="114">
        <v>0</v>
      </c>
      <c r="N206" s="114">
        <v>11640000</v>
      </c>
      <c r="O206" s="114">
        <v>11640000</v>
      </c>
      <c r="P206" s="114">
        <v>0</v>
      </c>
    </row>
    <row r="207" spans="1:17" ht="17.7" customHeight="1">
      <c r="A207" s="111">
        <v>203</v>
      </c>
      <c r="B207" s="112">
        <v>2302</v>
      </c>
      <c r="C207" s="112" t="s">
        <v>253</v>
      </c>
      <c r="D207" s="112" t="s">
        <v>243</v>
      </c>
      <c r="E207" s="112">
        <v>1728</v>
      </c>
      <c r="F207" s="113">
        <v>328742.51</v>
      </c>
      <c r="G207" s="114">
        <v>50</v>
      </c>
      <c r="H207" s="114">
        <v>50.1</v>
      </c>
      <c r="I207" s="115" t="s">
        <v>19</v>
      </c>
      <c r="J207" s="115" t="s">
        <v>529</v>
      </c>
      <c r="K207" s="115" t="s">
        <v>16</v>
      </c>
      <c r="L207" s="115" t="s">
        <v>378</v>
      </c>
      <c r="M207" s="114">
        <v>0</v>
      </c>
      <c r="N207" s="114">
        <v>16470000</v>
      </c>
      <c r="O207" s="114">
        <v>16470000</v>
      </c>
      <c r="P207" s="114">
        <v>0</v>
      </c>
    </row>
    <row r="208" spans="1:17" ht="16.95" customHeight="1">
      <c r="A208" s="111">
        <v>204</v>
      </c>
      <c r="B208" s="112">
        <v>2303</v>
      </c>
      <c r="C208" s="112" t="s">
        <v>254</v>
      </c>
      <c r="D208" s="112" t="s">
        <v>245</v>
      </c>
      <c r="E208" s="112">
        <v>1728</v>
      </c>
      <c r="F208" s="113">
        <v>249863.09</v>
      </c>
      <c r="G208" s="114">
        <v>73.040000000000006</v>
      </c>
      <c r="H208" s="114">
        <v>73.040000000000006</v>
      </c>
      <c r="I208" s="115" t="s">
        <v>42</v>
      </c>
      <c r="J208" s="115"/>
      <c r="K208" s="115" t="s">
        <v>16</v>
      </c>
      <c r="L208" s="115" t="s">
        <v>378</v>
      </c>
      <c r="M208" s="114">
        <v>18250000</v>
      </c>
      <c r="N208" s="114">
        <v>18250000</v>
      </c>
      <c r="O208" s="114">
        <v>18250000</v>
      </c>
      <c r="P208" s="114">
        <v>17788720.399999999</v>
      </c>
      <c r="Q208" s="112" t="s">
        <v>493</v>
      </c>
    </row>
    <row r="209" spans="1:17" ht="17.7" customHeight="1">
      <c r="A209" s="111">
        <v>205</v>
      </c>
      <c r="B209" s="112">
        <v>2304</v>
      </c>
      <c r="C209" s="112" t="s">
        <v>255</v>
      </c>
      <c r="D209" s="112" t="s">
        <v>247</v>
      </c>
      <c r="E209" s="112">
        <v>1728</v>
      </c>
      <c r="F209" s="113">
        <v>249501</v>
      </c>
      <c r="G209" s="114">
        <v>50.1</v>
      </c>
      <c r="H209" s="114">
        <v>50.1</v>
      </c>
      <c r="I209" s="115" t="s">
        <v>42</v>
      </c>
      <c r="J209" s="115"/>
      <c r="K209" s="115" t="s">
        <v>16</v>
      </c>
      <c r="L209" s="115" t="s">
        <v>378</v>
      </c>
      <c r="M209" s="114">
        <v>12500000</v>
      </c>
      <c r="N209" s="114">
        <v>12500000</v>
      </c>
      <c r="O209" s="114">
        <v>12500000</v>
      </c>
      <c r="P209" s="114">
        <v>12183220</v>
      </c>
      <c r="Q209" s="112" t="s">
        <v>493</v>
      </c>
    </row>
    <row r="210" spans="1:17" ht="16.95" customHeight="1">
      <c r="A210" s="111">
        <v>206</v>
      </c>
      <c r="B210" s="112">
        <v>2305</v>
      </c>
      <c r="C210" s="112" t="s">
        <v>256</v>
      </c>
      <c r="D210" s="112" t="s">
        <v>249</v>
      </c>
      <c r="E210" s="112">
        <v>1728</v>
      </c>
      <c r="F210" s="113">
        <v>322589.61</v>
      </c>
      <c r="G210" s="114">
        <v>35.4</v>
      </c>
      <c r="H210" s="114">
        <v>35.99</v>
      </c>
      <c r="I210" s="115" t="s">
        <v>19</v>
      </c>
      <c r="J210" s="115" t="s">
        <v>533</v>
      </c>
      <c r="K210" s="115" t="s">
        <v>16</v>
      </c>
      <c r="L210" s="115" t="s">
        <v>378</v>
      </c>
      <c r="M210" s="114">
        <v>0</v>
      </c>
      <c r="N210" s="114">
        <v>11610000</v>
      </c>
      <c r="O210" s="114">
        <v>11610000</v>
      </c>
      <c r="P210" s="114">
        <v>0</v>
      </c>
    </row>
    <row r="211" spans="1:17" ht="17.7" customHeight="1">
      <c r="A211" s="111">
        <v>207</v>
      </c>
      <c r="B211" s="112">
        <v>2306</v>
      </c>
      <c r="C211" s="112" t="s">
        <v>257</v>
      </c>
      <c r="D211" s="112" t="s">
        <v>251</v>
      </c>
      <c r="E211" s="112">
        <v>1728</v>
      </c>
      <c r="F211" s="113">
        <v>246377</v>
      </c>
      <c r="G211" s="114">
        <v>69</v>
      </c>
      <c r="H211" s="114">
        <v>69</v>
      </c>
      <c r="I211" s="115" t="s">
        <v>42</v>
      </c>
      <c r="J211" s="115"/>
      <c r="K211" s="115" t="s">
        <v>16</v>
      </c>
      <c r="L211" s="115" t="s">
        <v>378</v>
      </c>
      <c r="M211" s="114">
        <v>17000000</v>
      </c>
      <c r="N211" s="114">
        <v>17000000</v>
      </c>
      <c r="O211" s="114">
        <v>17000000</v>
      </c>
      <c r="P211" s="114">
        <v>16713209</v>
      </c>
      <c r="Q211" s="112" t="s">
        <v>494</v>
      </c>
    </row>
    <row r="212" spans="1:17" ht="17.7" customHeight="1">
      <c r="A212" s="111">
        <v>208</v>
      </c>
      <c r="B212" s="112">
        <v>2401</v>
      </c>
      <c r="C212" s="112" t="s">
        <v>258</v>
      </c>
      <c r="D212" s="112" t="s">
        <v>241</v>
      </c>
      <c r="E212" s="112">
        <v>1728</v>
      </c>
      <c r="F212" s="113">
        <v>359566.58</v>
      </c>
      <c r="G212" s="114">
        <v>34.9</v>
      </c>
      <c r="H212" s="114">
        <v>35.07</v>
      </c>
      <c r="I212" s="115" t="s">
        <v>19</v>
      </c>
      <c r="J212" s="115" t="s">
        <v>531</v>
      </c>
      <c r="K212" s="115" t="s">
        <v>16</v>
      </c>
      <c r="L212" s="115" t="s">
        <v>378</v>
      </c>
      <c r="M212" s="114">
        <v>0</v>
      </c>
      <c r="N212" s="114">
        <v>12610000</v>
      </c>
      <c r="O212" s="114">
        <v>12610000</v>
      </c>
      <c r="P212" s="114">
        <v>0</v>
      </c>
    </row>
    <row r="213" spans="1:17" ht="16.95" customHeight="1">
      <c r="A213" s="111">
        <v>209</v>
      </c>
      <c r="B213" s="112">
        <v>2402</v>
      </c>
      <c r="C213" s="112" t="s">
        <v>259</v>
      </c>
      <c r="D213" s="112" t="s">
        <v>243</v>
      </c>
      <c r="E213" s="112">
        <v>1728</v>
      </c>
      <c r="F213" s="113">
        <v>319361</v>
      </c>
      <c r="G213" s="114">
        <v>50.1</v>
      </c>
      <c r="H213" s="114">
        <v>50.1</v>
      </c>
      <c r="I213" s="115" t="s">
        <v>42</v>
      </c>
      <c r="J213" s="115"/>
      <c r="K213" s="115" t="s">
        <v>16</v>
      </c>
      <c r="L213" s="115" t="s">
        <v>378</v>
      </c>
      <c r="M213" s="114">
        <v>16000000</v>
      </c>
      <c r="N213" s="114">
        <v>16000000</v>
      </c>
      <c r="O213" s="114">
        <v>16000000</v>
      </c>
      <c r="P213" s="114">
        <v>16000000</v>
      </c>
      <c r="Q213" s="112" t="s">
        <v>495</v>
      </c>
    </row>
    <row r="214" spans="1:17" ht="17.7" customHeight="1">
      <c r="A214" s="111">
        <v>210</v>
      </c>
      <c r="B214" s="112">
        <v>2403</v>
      </c>
      <c r="C214" s="112" t="s">
        <v>260</v>
      </c>
      <c r="D214" s="112" t="s">
        <v>245</v>
      </c>
      <c r="E214" s="112">
        <v>1728</v>
      </c>
      <c r="F214" s="113">
        <v>351451.26</v>
      </c>
      <c r="G214" s="114">
        <v>73</v>
      </c>
      <c r="H214" s="114">
        <v>73.040000000000006</v>
      </c>
      <c r="I214" s="115" t="s">
        <v>19</v>
      </c>
      <c r="J214" s="115" t="s">
        <v>531</v>
      </c>
      <c r="K214" s="115" t="s">
        <v>16</v>
      </c>
      <c r="L214" s="115" t="s">
        <v>378</v>
      </c>
      <c r="M214" s="114">
        <v>0</v>
      </c>
      <c r="N214" s="114">
        <v>25670000</v>
      </c>
      <c r="O214" s="114">
        <v>25670000</v>
      </c>
      <c r="P214" s="114">
        <v>0</v>
      </c>
    </row>
    <row r="215" spans="1:17" ht="17.7" customHeight="1">
      <c r="A215" s="111">
        <v>211</v>
      </c>
      <c r="B215" s="112">
        <v>2404</v>
      </c>
      <c r="C215" s="112" t="s">
        <v>261</v>
      </c>
      <c r="D215" s="112" t="s">
        <v>247</v>
      </c>
      <c r="E215" s="112">
        <v>1728</v>
      </c>
      <c r="F215" s="113">
        <v>317764</v>
      </c>
      <c r="G215" s="114">
        <v>50.1</v>
      </c>
      <c r="H215" s="114">
        <v>50.1</v>
      </c>
      <c r="I215" s="115" t="s">
        <v>42</v>
      </c>
      <c r="J215" s="115"/>
      <c r="K215" s="115" t="s">
        <v>16</v>
      </c>
      <c r="L215" s="115" t="s">
        <v>378</v>
      </c>
      <c r="M215" s="114">
        <v>12000000</v>
      </c>
      <c r="N215" s="114">
        <v>15920000</v>
      </c>
      <c r="O215" s="114">
        <v>12000000</v>
      </c>
      <c r="P215" s="114">
        <v>11891082</v>
      </c>
      <c r="Q215" s="112" t="s">
        <v>496</v>
      </c>
    </row>
    <row r="216" spans="1:17" ht="16.95" customHeight="1">
      <c r="A216" s="111">
        <v>212</v>
      </c>
      <c r="B216" s="112">
        <v>2405</v>
      </c>
      <c r="C216" s="112" t="s">
        <v>262</v>
      </c>
      <c r="D216" s="112" t="s">
        <v>249</v>
      </c>
      <c r="E216" s="112">
        <v>1728</v>
      </c>
      <c r="F216" s="113">
        <v>323978.88</v>
      </c>
      <c r="G216" s="114">
        <v>35.4</v>
      </c>
      <c r="H216" s="114">
        <v>35.99</v>
      </c>
      <c r="I216" s="115" t="s">
        <v>19</v>
      </c>
      <c r="J216" s="115" t="s">
        <v>532</v>
      </c>
      <c r="K216" s="115" t="s">
        <v>16</v>
      </c>
      <c r="L216" s="115" t="s">
        <v>378</v>
      </c>
      <c r="M216" s="114">
        <v>0</v>
      </c>
      <c r="N216" s="114">
        <v>11660000</v>
      </c>
      <c r="O216" s="114">
        <v>11660000</v>
      </c>
      <c r="P216" s="114">
        <v>0</v>
      </c>
    </row>
    <row r="217" spans="1:17" ht="17.7" customHeight="1">
      <c r="A217" s="111">
        <v>213</v>
      </c>
      <c r="B217" s="112">
        <v>2406</v>
      </c>
      <c r="C217" s="112" t="s">
        <v>263</v>
      </c>
      <c r="D217" s="112" t="s">
        <v>251</v>
      </c>
      <c r="E217" s="112">
        <v>1728</v>
      </c>
      <c r="F217" s="113">
        <v>271884</v>
      </c>
      <c r="G217" s="114">
        <v>69</v>
      </c>
      <c r="H217" s="114">
        <v>69</v>
      </c>
      <c r="I217" s="115" t="s">
        <v>42</v>
      </c>
      <c r="J217" s="115"/>
      <c r="K217" s="115" t="s">
        <v>16</v>
      </c>
      <c r="L217" s="115" t="s">
        <v>378</v>
      </c>
      <c r="M217" s="114">
        <v>18200000</v>
      </c>
      <c r="N217" s="114">
        <v>18760000</v>
      </c>
      <c r="O217" s="114">
        <v>18200000</v>
      </c>
      <c r="P217" s="114">
        <v>17912174</v>
      </c>
      <c r="Q217" s="112" t="s">
        <v>497</v>
      </c>
    </row>
    <row r="218" spans="1:17" ht="16.95" customHeight="1">
      <c r="A218" s="111">
        <v>214</v>
      </c>
      <c r="B218" s="112">
        <v>2501</v>
      </c>
      <c r="C218" s="112" t="s">
        <v>264</v>
      </c>
      <c r="D218" s="112" t="s">
        <v>241</v>
      </c>
      <c r="E218" s="112">
        <v>1728</v>
      </c>
      <c r="F218" s="113">
        <v>325064.15999999997</v>
      </c>
      <c r="G218" s="114">
        <v>34.9</v>
      </c>
      <c r="H218" s="114">
        <v>35.07</v>
      </c>
      <c r="I218" s="115" t="s">
        <v>19</v>
      </c>
      <c r="J218" s="115" t="s">
        <v>532</v>
      </c>
      <c r="K218" s="115" t="s">
        <v>16</v>
      </c>
      <c r="L218" s="115" t="s">
        <v>378</v>
      </c>
      <c r="M218" s="114">
        <v>0</v>
      </c>
      <c r="N218" s="114">
        <v>11400000</v>
      </c>
      <c r="O218" s="114">
        <v>11400000</v>
      </c>
      <c r="P218" s="114">
        <v>0</v>
      </c>
    </row>
    <row r="219" spans="1:17" ht="17.7" customHeight="1">
      <c r="A219" s="111">
        <v>215</v>
      </c>
      <c r="B219" s="112">
        <v>2502</v>
      </c>
      <c r="C219" s="112" t="s">
        <v>265</v>
      </c>
      <c r="D219" s="112" t="s">
        <v>243</v>
      </c>
      <c r="E219" s="112">
        <v>1728</v>
      </c>
      <c r="F219" s="113">
        <v>312575</v>
      </c>
      <c r="G219" s="114">
        <v>50.1</v>
      </c>
      <c r="H219" s="114">
        <v>50.1</v>
      </c>
      <c r="I219" s="115" t="s">
        <v>42</v>
      </c>
      <c r="J219" s="115"/>
      <c r="K219" s="115" t="s">
        <v>16</v>
      </c>
      <c r="L219" s="115" t="s">
        <v>378</v>
      </c>
      <c r="M219" s="114">
        <v>11800000</v>
      </c>
      <c r="N219" s="114">
        <v>15660000</v>
      </c>
      <c r="O219" s="114">
        <v>11800000</v>
      </c>
      <c r="P219" s="114">
        <v>11589983</v>
      </c>
      <c r="Q219" s="112" t="s">
        <v>498</v>
      </c>
    </row>
    <row r="220" spans="1:17" ht="17.7" customHeight="1">
      <c r="A220" s="111">
        <v>216</v>
      </c>
      <c r="B220" s="112">
        <v>2503</v>
      </c>
      <c r="C220" s="112" t="s">
        <v>266</v>
      </c>
      <c r="D220" s="112" t="s">
        <v>245</v>
      </c>
      <c r="E220" s="112">
        <v>1728</v>
      </c>
      <c r="F220" s="113">
        <v>315169.77</v>
      </c>
      <c r="G220" s="114">
        <v>73</v>
      </c>
      <c r="H220" s="114">
        <v>73.040000000000006</v>
      </c>
      <c r="I220" s="115" t="s">
        <v>19</v>
      </c>
      <c r="J220" s="115" t="s">
        <v>529</v>
      </c>
      <c r="K220" s="115" t="s">
        <v>16</v>
      </c>
      <c r="L220" s="115" t="s">
        <v>378</v>
      </c>
      <c r="M220" s="114">
        <v>0</v>
      </c>
      <c r="N220" s="114">
        <v>23020000</v>
      </c>
      <c r="O220" s="114">
        <v>23020000</v>
      </c>
      <c r="P220" s="114">
        <v>0</v>
      </c>
    </row>
    <row r="221" spans="1:17" ht="16.95" customHeight="1">
      <c r="A221" s="111">
        <v>217</v>
      </c>
      <c r="B221" s="112">
        <v>2504</v>
      </c>
      <c r="C221" s="112" t="s">
        <v>267</v>
      </c>
      <c r="D221" s="112" t="s">
        <v>247</v>
      </c>
      <c r="E221" s="112">
        <v>1728</v>
      </c>
      <c r="F221" s="113">
        <v>319361.28000000003</v>
      </c>
      <c r="G221" s="114">
        <v>50</v>
      </c>
      <c r="H221" s="114">
        <v>50.1</v>
      </c>
      <c r="I221" s="115" t="s">
        <v>19</v>
      </c>
      <c r="J221" s="115" t="s">
        <v>529</v>
      </c>
      <c r="K221" s="115" t="s">
        <v>16</v>
      </c>
      <c r="L221" s="115" t="s">
        <v>378</v>
      </c>
      <c r="M221" s="114">
        <v>0</v>
      </c>
      <c r="N221" s="114">
        <v>16000000</v>
      </c>
      <c r="O221" s="114">
        <v>16000000</v>
      </c>
      <c r="P221" s="114">
        <v>0</v>
      </c>
    </row>
    <row r="222" spans="1:17" ht="17.7" customHeight="1">
      <c r="A222" s="111">
        <v>218</v>
      </c>
      <c r="B222" s="112">
        <v>2505</v>
      </c>
      <c r="C222" s="112" t="s">
        <v>268</v>
      </c>
      <c r="D222" s="112" t="s">
        <v>249</v>
      </c>
      <c r="E222" s="112">
        <v>1728</v>
      </c>
      <c r="F222" s="113">
        <v>325090.3</v>
      </c>
      <c r="G222" s="114">
        <v>35.4</v>
      </c>
      <c r="H222" s="114">
        <v>35.99</v>
      </c>
      <c r="I222" s="115" t="s">
        <v>19</v>
      </c>
      <c r="J222" s="115" t="s">
        <v>532</v>
      </c>
      <c r="K222" s="115" t="s">
        <v>16</v>
      </c>
      <c r="L222" s="115" t="s">
        <v>378</v>
      </c>
      <c r="M222" s="114">
        <v>0</v>
      </c>
      <c r="N222" s="114">
        <v>11700000</v>
      </c>
      <c r="O222" s="114">
        <v>11700000</v>
      </c>
      <c r="P222" s="114">
        <v>0</v>
      </c>
    </row>
    <row r="223" spans="1:17" ht="17.7" customHeight="1">
      <c r="A223" s="111">
        <v>219</v>
      </c>
      <c r="B223" s="112">
        <v>2506</v>
      </c>
      <c r="C223" s="112" t="s">
        <v>269</v>
      </c>
      <c r="D223" s="112" t="s">
        <v>251</v>
      </c>
      <c r="E223" s="112">
        <v>1728</v>
      </c>
      <c r="F223" s="113">
        <v>273478</v>
      </c>
      <c r="G223" s="114">
        <v>69</v>
      </c>
      <c r="H223" s="114">
        <v>69</v>
      </c>
      <c r="I223" s="115" t="s">
        <v>42</v>
      </c>
      <c r="J223" s="115"/>
      <c r="K223" s="115" t="s">
        <v>16</v>
      </c>
      <c r="L223" s="115" t="s">
        <v>378</v>
      </c>
      <c r="M223" s="114">
        <v>18304000</v>
      </c>
      <c r="N223" s="114">
        <v>18870000</v>
      </c>
      <c r="O223" s="114">
        <v>18304000</v>
      </c>
      <c r="P223" s="114">
        <v>18015208</v>
      </c>
      <c r="Q223" s="112" t="s">
        <v>499</v>
      </c>
    </row>
    <row r="224" spans="1:17" ht="16.95" customHeight="1">
      <c r="A224" s="111">
        <v>220</v>
      </c>
      <c r="B224" s="112">
        <v>2601</v>
      </c>
      <c r="C224" s="112" t="s">
        <v>270</v>
      </c>
      <c r="D224" s="112" t="s">
        <v>241</v>
      </c>
      <c r="E224" s="112">
        <v>1728</v>
      </c>
      <c r="F224" s="113">
        <v>322783.01</v>
      </c>
      <c r="G224" s="114">
        <v>34.9</v>
      </c>
      <c r="H224" s="114">
        <v>35.07</v>
      </c>
      <c r="I224" s="115" t="s">
        <v>19</v>
      </c>
      <c r="J224" s="115" t="s">
        <v>532</v>
      </c>
      <c r="K224" s="115" t="s">
        <v>16</v>
      </c>
      <c r="L224" s="115" t="s">
        <v>378</v>
      </c>
      <c r="M224" s="114">
        <v>0</v>
      </c>
      <c r="N224" s="114">
        <v>11320000</v>
      </c>
      <c r="O224" s="114">
        <v>11320000</v>
      </c>
      <c r="P224" s="114">
        <v>0</v>
      </c>
    </row>
    <row r="225" spans="1:17" ht="17.7" customHeight="1">
      <c r="A225" s="111">
        <v>221</v>
      </c>
      <c r="B225" s="112">
        <v>2602</v>
      </c>
      <c r="C225" s="112" t="s">
        <v>271</v>
      </c>
      <c r="D225" s="112" t="s">
        <v>243</v>
      </c>
      <c r="E225" s="112">
        <v>1728</v>
      </c>
      <c r="F225" s="113">
        <v>310578.84000000003</v>
      </c>
      <c r="G225" s="114">
        <v>50</v>
      </c>
      <c r="H225" s="114">
        <v>50.1</v>
      </c>
      <c r="I225" s="115" t="s">
        <v>19</v>
      </c>
      <c r="J225" s="115" t="s">
        <v>529</v>
      </c>
      <c r="K225" s="115" t="s">
        <v>16</v>
      </c>
      <c r="L225" s="115" t="s">
        <v>378</v>
      </c>
      <c r="M225" s="114">
        <v>0</v>
      </c>
      <c r="N225" s="114">
        <v>15560000</v>
      </c>
      <c r="O225" s="114">
        <v>15560000</v>
      </c>
      <c r="P225" s="114">
        <v>0</v>
      </c>
    </row>
    <row r="226" spans="1:17" ht="16.95" customHeight="1">
      <c r="A226" s="111">
        <v>222</v>
      </c>
      <c r="B226" s="112">
        <v>2603</v>
      </c>
      <c r="C226" s="112" t="s">
        <v>272</v>
      </c>
      <c r="D226" s="112" t="s">
        <v>245</v>
      </c>
      <c r="E226" s="112">
        <v>1728</v>
      </c>
      <c r="F226" s="113">
        <v>279710</v>
      </c>
      <c r="G226" s="114">
        <v>73.040000000000006</v>
      </c>
      <c r="H226" s="114">
        <v>73.040000000000006</v>
      </c>
      <c r="I226" s="115" t="s">
        <v>42</v>
      </c>
      <c r="J226" s="115"/>
      <c r="K226" s="115" t="s">
        <v>16</v>
      </c>
      <c r="L226" s="115" t="s">
        <v>378</v>
      </c>
      <c r="M226" s="114">
        <v>20430000</v>
      </c>
      <c r="N226" s="114">
        <v>20430000</v>
      </c>
      <c r="O226" s="114">
        <v>20430000</v>
      </c>
      <c r="P226" s="114">
        <v>20123345.800000001</v>
      </c>
      <c r="Q226" s="112" t="s">
        <v>500</v>
      </c>
    </row>
    <row r="227" spans="1:17" ht="17.7" customHeight="1">
      <c r="A227" s="111">
        <v>223</v>
      </c>
      <c r="B227" s="112">
        <v>2604</v>
      </c>
      <c r="C227" s="112" t="s">
        <v>273</v>
      </c>
      <c r="D227" s="112" t="s">
        <v>247</v>
      </c>
      <c r="E227" s="112">
        <v>1728</v>
      </c>
      <c r="F227" s="113">
        <v>317764.46999999997</v>
      </c>
      <c r="G227" s="114">
        <v>50</v>
      </c>
      <c r="H227" s="114">
        <v>50.1</v>
      </c>
      <c r="I227" s="115" t="s">
        <v>19</v>
      </c>
      <c r="J227" s="115" t="s">
        <v>529</v>
      </c>
      <c r="K227" s="115" t="s">
        <v>16</v>
      </c>
      <c r="L227" s="115" t="s">
        <v>378</v>
      </c>
      <c r="M227" s="114">
        <v>0</v>
      </c>
      <c r="N227" s="114">
        <v>15920000</v>
      </c>
      <c r="O227" s="114">
        <v>15920000</v>
      </c>
      <c r="P227" s="114">
        <v>0</v>
      </c>
    </row>
    <row r="228" spans="1:17" ht="17.7" customHeight="1">
      <c r="A228" s="111">
        <v>224</v>
      </c>
      <c r="B228" s="112">
        <v>2605</v>
      </c>
      <c r="C228" s="112" t="s">
        <v>274</v>
      </c>
      <c r="D228" s="112" t="s">
        <v>249</v>
      </c>
      <c r="E228" s="112">
        <v>1728</v>
      </c>
      <c r="F228" s="113">
        <v>322589.61</v>
      </c>
      <c r="G228" s="114">
        <v>35.4</v>
      </c>
      <c r="H228" s="114">
        <v>35.99</v>
      </c>
      <c r="I228" s="115" t="s">
        <v>19</v>
      </c>
      <c r="J228" s="115" t="s">
        <v>532</v>
      </c>
      <c r="K228" s="115" t="s">
        <v>16</v>
      </c>
      <c r="L228" s="115" t="s">
        <v>378</v>
      </c>
      <c r="M228" s="114">
        <v>0</v>
      </c>
      <c r="N228" s="114">
        <v>11610000</v>
      </c>
      <c r="O228" s="114">
        <v>11610000</v>
      </c>
      <c r="P228" s="114">
        <v>0</v>
      </c>
    </row>
    <row r="229" spans="1:17" ht="16.95" customHeight="1">
      <c r="A229" s="111">
        <v>225</v>
      </c>
      <c r="B229" s="112">
        <v>2606</v>
      </c>
      <c r="C229" s="112" t="s">
        <v>275</v>
      </c>
      <c r="D229" s="112" t="s">
        <v>251</v>
      </c>
      <c r="E229" s="112">
        <v>1728</v>
      </c>
      <c r="F229" s="113">
        <v>323768.12</v>
      </c>
      <c r="G229" s="114">
        <v>69</v>
      </c>
      <c r="H229" s="114">
        <v>69</v>
      </c>
      <c r="I229" s="115" t="s">
        <v>19</v>
      </c>
      <c r="J229" s="115" t="s">
        <v>529</v>
      </c>
      <c r="K229" s="115" t="s">
        <v>16</v>
      </c>
      <c r="L229" s="115" t="s">
        <v>378</v>
      </c>
      <c r="M229" s="114">
        <v>0</v>
      </c>
      <c r="N229" s="114">
        <v>22340000</v>
      </c>
      <c r="O229" s="114">
        <v>22340000</v>
      </c>
      <c r="P229" s="114">
        <v>0</v>
      </c>
    </row>
    <row r="230" spans="1:17" ht="16.95" customHeight="1">
      <c r="A230" s="111">
        <v>226</v>
      </c>
      <c r="B230" s="112">
        <v>2701</v>
      </c>
      <c r="C230" s="112" t="s">
        <v>276</v>
      </c>
      <c r="D230" s="112" t="s">
        <v>241</v>
      </c>
      <c r="E230" s="112">
        <v>1728</v>
      </c>
      <c r="F230" s="113">
        <v>323068.15000000002</v>
      </c>
      <c r="G230" s="114">
        <v>34.9</v>
      </c>
      <c r="H230" s="114">
        <v>35.07</v>
      </c>
      <c r="I230" s="115" t="s">
        <v>19</v>
      </c>
      <c r="J230" s="115" t="s">
        <v>532</v>
      </c>
      <c r="K230" s="115" t="s">
        <v>16</v>
      </c>
      <c r="L230" s="115" t="s">
        <v>378</v>
      </c>
      <c r="M230" s="114">
        <v>0</v>
      </c>
      <c r="N230" s="114">
        <v>11330000</v>
      </c>
      <c r="O230" s="114">
        <v>11330000</v>
      </c>
      <c r="P230" s="114">
        <v>0</v>
      </c>
    </row>
    <row r="231" spans="1:17" ht="17.7" customHeight="1">
      <c r="A231" s="111">
        <v>227</v>
      </c>
      <c r="B231" s="112">
        <v>2702</v>
      </c>
      <c r="C231" s="112" t="s">
        <v>277</v>
      </c>
      <c r="D231" s="112" t="s">
        <v>243</v>
      </c>
      <c r="E231" s="112">
        <v>1728</v>
      </c>
      <c r="F231" s="113">
        <v>311776</v>
      </c>
      <c r="G231" s="114">
        <v>50.1</v>
      </c>
      <c r="H231" s="114">
        <v>50.1</v>
      </c>
      <c r="I231" s="115" t="s">
        <v>42</v>
      </c>
      <c r="J231" s="115"/>
      <c r="K231" s="115" t="s">
        <v>16</v>
      </c>
      <c r="L231" s="115" t="s">
        <v>378</v>
      </c>
      <c r="M231" s="114">
        <v>11500000</v>
      </c>
      <c r="N231" s="114">
        <v>15620000</v>
      </c>
      <c r="O231" s="114">
        <v>11500000</v>
      </c>
      <c r="P231" s="114">
        <v>11288580</v>
      </c>
      <c r="Q231" s="112" t="s">
        <v>501</v>
      </c>
    </row>
    <row r="232" spans="1:17" ht="17.7" customHeight="1">
      <c r="A232" s="111">
        <v>228</v>
      </c>
      <c r="B232" s="112">
        <v>2703</v>
      </c>
      <c r="C232" s="112" t="s">
        <v>278</v>
      </c>
      <c r="D232" s="112" t="s">
        <v>245</v>
      </c>
      <c r="E232" s="112">
        <v>1728</v>
      </c>
      <c r="F232" s="113">
        <v>294359</v>
      </c>
      <c r="G232" s="114">
        <v>73.040000000000006</v>
      </c>
      <c r="H232" s="114">
        <v>73.040000000000006</v>
      </c>
      <c r="I232" s="115" t="s">
        <v>42</v>
      </c>
      <c r="J232" s="115"/>
      <c r="K232" s="115" t="s">
        <v>16</v>
      </c>
      <c r="L232" s="115" t="s">
        <v>378</v>
      </c>
      <c r="M232" s="114">
        <v>21500000</v>
      </c>
      <c r="N232" s="114">
        <v>21500000</v>
      </c>
      <c r="O232" s="114">
        <v>21500000</v>
      </c>
      <c r="P232" s="114">
        <v>21192323.800000001</v>
      </c>
      <c r="Q232" s="112" t="s">
        <v>502</v>
      </c>
    </row>
    <row r="233" spans="1:17" ht="16.95" customHeight="1">
      <c r="A233" s="111">
        <v>229</v>
      </c>
      <c r="B233" s="112">
        <v>2704</v>
      </c>
      <c r="C233" s="112" t="s">
        <v>279</v>
      </c>
      <c r="D233" s="112" t="s">
        <v>247</v>
      </c>
      <c r="E233" s="112">
        <v>1728</v>
      </c>
      <c r="F233" s="113">
        <v>265200</v>
      </c>
      <c r="G233" s="114">
        <v>50.1</v>
      </c>
      <c r="H233" s="114">
        <v>50.1</v>
      </c>
      <c r="I233" s="115" t="s">
        <v>42</v>
      </c>
      <c r="J233" s="115"/>
      <c r="K233" s="115" t="s">
        <v>16</v>
      </c>
      <c r="L233" s="115" t="s">
        <v>378</v>
      </c>
      <c r="M233" s="114">
        <v>12863000</v>
      </c>
      <c r="N233" s="114">
        <v>13260000</v>
      </c>
      <c r="O233" s="114">
        <v>12889520</v>
      </c>
      <c r="P233" s="114">
        <v>12678100</v>
      </c>
      <c r="Q233" s="112" t="s">
        <v>503</v>
      </c>
    </row>
    <row r="234" spans="1:17" ht="17.7" customHeight="1">
      <c r="A234" s="111">
        <v>230</v>
      </c>
      <c r="B234" s="112">
        <v>2705</v>
      </c>
      <c r="C234" s="112" t="s">
        <v>280</v>
      </c>
      <c r="D234" s="112" t="s">
        <v>249</v>
      </c>
      <c r="E234" s="112">
        <v>1728</v>
      </c>
      <c r="F234" s="113">
        <v>323145.32</v>
      </c>
      <c r="G234" s="114">
        <v>35.4</v>
      </c>
      <c r="H234" s="114">
        <v>35.99</v>
      </c>
      <c r="I234" s="115" t="s">
        <v>19</v>
      </c>
      <c r="J234" s="115" t="s">
        <v>532</v>
      </c>
      <c r="K234" s="115" t="s">
        <v>16</v>
      </c>
      <c r="L234" s="115" t="s">
        <v>378</v>
      </c>
      <c r="M234" s="114">
        <v>0</v>
      </c>
      <c r="N234" s="114">
        <v>11630000</v>
      </c>
      <c r="O234" s="114">
        <v>11630000</v>
      </c>
      <c r="P234" s="114">
        <v>0</v>
      </c>
    </row>
    <row r="235" spans="1:17" ht="16.95" customHeight="1">
      <c r="A235" s="111">
        <v>231</v>
      </c>
      <c r="B235" s="112">
        <v>2706</v>
      </c>
      <c r="C235" s="112" t="s">
        <v>281</v>
      </c>
      <c r="D235" s="112" t="s">
        <v>251</v>
      </c>
      <c r="E235" s="112">
        <v>1728</v>
      </c>
      <c r="F235" s="113">
        <v>352898.55</v>
      </c>
      <c r="G235" s="114">
        <v>69</v>
      </c>
      <c r="H235" s="114">
        <v>69</v>
      </c>
      <c r="I235" s="115" t="s">
        <v>42</v>
      </c>
      <c r="J235" s="115"/>
      <c r="K235" s="115" t="s">
        <v>16</v>
      </c>
      <c r="L235" s="115" t="s">
        <v>378</v>
      </c>
      <c r="M235" s="114">
        <v>0</v>
      </c>
      <c r="N235" s="114">
        <v>24350000</v>
      </c>
      <c r="O235" s="114">
        <v>24350000</v>
      </c>
      <c r="P235" s="114">
        <v>0</v>
      </c>
    </row>
    <row r="236" spans="1:17" ht="17.7" customHeight="1">
      <c r="A236" s="111">
        <v>232</v>
      </c>
      <c r="B236" s="112">
        <v>2801</v>
      </c>
      <c r="C236" s="112" t="s">
        <v>282</v>
      </c>
      <c r="D236" s="112" t="s">
        <v>241</v>
      </c>
      <c r="E236" s="112">
        <v>1728</v>
      </c>
      <c r="F236" s="113">
        <v>328080</v>
      </c>
      <c r="G236" s="114">
        <v>35.07</v>
      </c>
      <c r="H236" s="114">
        <v>35.07</v>
      </c>
      <c r="I236" s="115" t="s">
        <v>42</v>
      </c>
      <c r="J236" s="115"/>
      <c r="K236" s="115" t="s">
        <v>16</v>
      </c>
      <c r="L236" s="115" t="s">
        <v>378</v>
      </c>
      <c r="M236" s="114">
        <v>11450000</v>
      </c>
      <c r="N236" s="114">
        <v>11450000</v>
      </c>
      <c r="O236" s="114">
        <v>11505774</v>
      </c>
      <c r="P236" s="114">
        <v>11505774</v>
      </c>
      <c r="Q236" s="112" t="s">
        <v>504</v>
      </c>
    </row>
    <row r="237" spans="1:17" ht="17.7" customHeight="1">
      <c r="A237" s="111">
        <v>233</v>
      </c>
      <c r="B237" s="112">
        <v>2802</v>
      </c>
      <c r="C237" s="112" t="s">
        <v>283</v>
      </c>
      <c r="D237" s="112" t="s">
        <v>243</v>
      </c>
      <c r="E237" s="112">
        <v>1728</v>
      </c>
      <c r="F237" s="113">
        <v>312974.05</v>
      </c>
      <c r="G237" s="114">
        <v>50</v>
      </c>
      <c r="H237" s="114">
        <v>50.1</v>
      </c>
      <c r="I237" s="115" t="s">
        <v>19</v>
      </c>
      <c r="J237" s="115" t="s">
        <v>533</v>
      </c>
      <c r="K237" s="115" t="s">
        <v>16</v>
      </c>
      <c r="L237" s="115" t="s">
        <v>378</v>
      </c>
      <c r="M237" s="114">
        <v>0</v>
      </c>
      <c r="N237" s="114">
        <v>15680000</v>
      </c>
      <c r="O237" s="114">
        <v>15680000</v>
      </c>
      <c r="P237" s="114">
        <v>0</v>
      </c>
    </row>
    <row r="238" spans="1:17" ht="16.95" customHeight="1">
      <c r="A238" s="111">
        <v>234</v>
      </c>
      <c r="B238" s="112">
        <v>2803</v>
      </c>
      <c r="C238" s="112" t="s">
        <v>284</v>
      </c>
      <c r="D238" s="112" t="s">
        <v>245</v>
      </c>
      <c r="E238" s="112">
        <v>1728</v>
      </c>
      <c r="F238" s="113">
        <v>315890</v>
      </c>
      <c r="G238" s="114">
        <v>73.040000000000006</v>
      </c>
      <c r="H238" s="114">
        <v>73.040000000000006</v>
      </c>
      <c r="I238" s="115" t="s">
        <v>42</v>
      </c>
      <c r="J238" s="115"/>
      <c r="K238" s="115" t="s">
        <v>16</v>
      </c>
      <c r="L238" s="115" t="s">
        <v>378</v>
      </c>
      <c r="M238" s="114">
        <v>23060000</v>
      </c>
      <c r="N238" s="114">
        <v>23060000</v>
      </c>
      <c r="O238" s="114">
        <v>23072636</v>
      </c>
      <c r="P238" s="114">
        <v>23072636</v>
      </c>
      <c r="Q238" s="112" t="s">
        <v>402</v>
      </c>
    </row>
    <row r="239" spans="1:17" ht="17.7" customHeight="1">
      <c r="A239" s="111">
        <v>235</v>
      </c>
      <c r="B239" s="112">
        <v>2804</v>
      </c>
      <c r="C239" s="112" t="s">
        <v>285</v>
      </c>
      <c r="D239" s="112" t="s">
        <v>247</v>
      </c>
      <c r="E239" s="112">
        <v>1728</v>
      </c>
      <c r="F239" s="113">
        <v>375249.5</v>
      </c>
      <c r="G239" s="114">
        <v>50</v>
      </c>
      <c r="H239" s="114">
        <v>50.1</v>
      </c>
      <c r="I239" s="115" t="s">
        <v>19</v>
      </c>
      <c r="J239" s="115" t="s">
        <v>531</v>
      </c>
      <c r="K239" s="115" t="s">
        <v>16</v>
      </c>
      <c r="L239" s="115" t="s">
        <v>378</v>
      </c>
      <c r="M239" s="114">
        <v>0</v>
      </c>
      <c r="N239" s="114">
        <v>18800000</v>
      </c>
      <c r="O239" s="114">
        <v>18800000</v>
      </c>
      <c r="P239" s="114">
        <v>0</v>
      </c>
    </row>
    <row r="240" spans="1:17" ht="17.7" customHeight="1">
      <c r="A240" s="111">
        <v>236</v>
      </c>
      <c r="B240" s="112">
        <v>2805</v>
      </c>
      <c r="C240" s="112" t="s">
        <v>286</v>
      </c>
      <c r="D240" s="112" t="s">
        <v>249</v>
      </c>
      <c r="E240" s="112">
        <v>1728</v>
      </c>
      <c r="F240" s="113">
        <v>340372.33</v>
      </c>
      <c r="G240" s="114">
        <v>35.4</v>
      </c>
      <c r="H240" s="114">
        <v>35.99</v>
      </c>
      <c r="I240" s="115" t="s">
        <v>19</v>
      </c>
      <c r="J240" s="115" t="s">
        <v>532</v>
      </c>
      <c r="K240" s="115" t="s">
        <v>16</v>
      </c>
      <c r="L240" s="115" t="s">
        <v>378</v>
      </c>
      <c r="M240" s="114">
        <v>0</v>
      </c>
      <c r="N240" s="114">
        <v>12250000</v>
      </c>
      <c r="O240" s="114">
        <v>12250000</v>
      </c>
      <c r="P240" s="114">
        <v>0</v>
      </c>
    </row>
    <row r="241" spans="1:17" ht="16.95" customHeight="1">
      <c r="A241" s="111">
        <v>237</v>
      </c>
      <c r="B241" s="112">
        <v>2806</v>
      </c>
      <c r="C241" s="112" t="s">
        <v>287</v>
      </c>
      <c r="D241" s="112" t="s">
        <v>251</v>
      </c>
      <c r="E241" s="112">
        <v>1728</v>
      </c>
      <c r="F241" s="113">
        <v>326087</v>
      </c>
      <c r="G241" s="114">
        <v>69</v>
      </c>
      <c r="H241" s="114">
        <v>69</v>
      </c>
      <c r="I241" s="115" t="s">
        <v>42</v>
      </c>
      <c r="J241" s="115"/>
      <c r="K241" s="115" t="s">
        <v>16</v>
      </c>
      <c r="L241" s="115" t="s">
        <v>378</v>
      </c>
      <c r="M241" s="114">
        <v>22500000</v>
      </c>
      <c r="N241" s="114">
        <v>22500000</v>
      </c>
      <c r="O241" s="114">
        <v>22500000</v>
      </c>
      <c r="P241" s="114">
        <v>22500000</v>
      </c>
      <c r="Q241" s="112" t="s">
        <v>471</v>
      </c>
    </row>
    <row r="242" spans="1:17" ht="17.7" customHeight="1">
      <c r="A242" s="111">
        <v>238</v>
      </c>
      <c r="B242" s="112">
        <v>2901</v>
      </c>
      <c r="C242" s="112" t="s">
        <v>288</v>
      </c>
      <c r="D242" s="112" t="s">
        <v>241</v>
      </c>
      <c r="E242" s="112">
        <v>1728</v>
      </c>
      <c r="F242" s="113">
        <v>329226</v>
      </c>
      <c r="G242" s="114">
        <v>35.07</v>
      </c>
      <c r="H242" s="114">
        <v>35.07</v>
      </c>
      <c r="I242" s="115" t="s">
        <v>42</v>
      </c>
      <c r="J242" s="115"/>
      <c r="K242" s="115" t="s">
        <v>16</v>
      </c>
      <c r="L242" s="115" t="s">
        <v>378</v>
      </c>
      <c r="M242" s="114">
        <v>11490000</v>
      </c>
      <c r="N242" s="114">
        <v>11490000</v>
      </c>
      <c r="O242" s="114">
        <v>11545969</v>
      </c>
      <c r="P242" s="114">
        <v>11545969</v>
      </c>
      <c r="Q242" s="112" t="s">
        <v>505</v>
      </c>
    </row>
    <row r="243" spans="1:17" ht="16.95" customHeight="1">
      <c r="A243" s="111">
        <v>239</v>
      </c>
      <c r="B243" s="112">
        <v>2902</v>
      </c>
      <c r="C243" s="112" t="s">
        <v>289</v>
      </c>
      <c r="D243" s="112" t="s">
        <v>243</v>
      </c>
      <c r="E243" s="112">
        <v>1728</v>
      </c>
      <c r="F243" s="113">
        <v>316200</v>
      </c>
      <c r="G243" s="114">
        <v>50.1</v>
      </c>
      <c r="H243" s="114">
        <v>50.1</v>
      </c>
      <c r="I243" s="115" t="s">
        <v>42</v>
      </c>
      <c r="J243" s="115"/>
      <c r="K243" s="115" t="s">
        <v>16</v>
      </c>
      <c r="L243" s="115" t="s">
        <v>378</v>
      </c>
      <c r="M243" s="114">
        <v>15810000</v>
      </c>
      <c r="N243" s="114">
        <v>15810000</v>
      </c>
      <c r="O243" s="114">
        <v>15841620</v>
      </c>
      <c r="P243" s="114">
        <v>15841620</v>
      </c>
      <c r="Q243" s="112" t="s">
        <v>506</v>
      </c>
    </row>
    <row r="244" spans="1:17" ht="17.7" customHeight="1">
      <c r="A244" s="111">
        <v>240</v>
      </c>
      <c r="B244" s="112">
        <v>2903</v>
      </c>
      <c r="C244" s="112" t="s">
        <v>290</v>
      </c>
      <c r="D244" s="112" t="s">
        <v>245</v>
      </c>
      <c r="E244" s="112">
        <v>1728</v>
      </c>
      <c r="F244" s="113">
        <v>273823</v>
      </c>
      <c r="G244" s="114">
        <v>73.040000000000006</v>
      </c>
      <c r="H244" s="114">
        <v>73.040000000000006</v>
      </c>
      <c r="I244" s="115" t="s">
        <v>42</v>
      </c>
      <c r="J244" s="115"/>
      <c r="K244" s="115" t="s">
        <v>16</v>
      </c>
      <c r="L244" s="115" t="s">
        <v>378</v>
      </c>
      <c r="M244" s="114">
        <v>20000000</v>
      </c>
      <c r="N244" s="114">
        <v>20000000</v>
      </c>
      <c r="O244" s="114">
        <v>20000000</v>
      </c>
      <c r="P244" s="114">
        <v>19690278.800000001</v>
      </c>
      <c r="Q244" s="112" t="s">
        <v>507</v>
      </c>
    </row>
    <row r="245" spans="1:17" ht="17.7" customHeight="1">
      <c r="A245" s="111">
        <v>241</v>
      </c>
      <c r="B245" s="112">
        <v>2904</v>
      </c>
      <c r="C245" s="112" t="s">
        <v>291</v>
      </c>
      <c r="D245" s="112" t="s">
        <v>247</v>
      </c>
      <c r="E245" s="112">
        <v>1728</v>
      </c>
      <c r="F245" s="113">
        <v>336327.35</v>
      </c>
      <c r="G245" s="114">
        <v>50</v>
      </c>
      <c r="H245" s="114">
        <v>50.1</v>
      </c>
      <c r="I245" s="115" t="s">
        <v>19</v>
      </c>
      <c r="J245" s="115" t="s">
        <v>533</v>
      </c>
      <c r="K245" s="115" t="s">
        <v>16</v>
      </c>
      <c r="L245" s="115" t="s">
        <v>378</v>
      </c>
      <c r="M245" s="114">
        <v>0</v>
      </c>
      <c r="N245" s="114">
        <v>16850000</v>
      </c>
      <c r="O245" s="114">
        <v>16850000</v>
      </c>
      <c r="P245" s="114">
        <v>0</v>
      </c>
    </row>
    <row r="246" spans="1:17" ht="16.95" customHeight="1">
      <c r="A246" s="111">
        <v>242</v>
      </c>
      <c r="B246" s="112">
        <v>2905</v>
      </c>
      <c r="C246" s="112" t="s">
        <v>292</v>
      </c>
      <c r="D246" s="112" t="s">
        <v>249</v>
      </c>
      <c r="E246" s="112">
        <v>1728</v>
      </c>
      <c r="F246" s="113">
        <v>329096</v>
      </c>
      <c r="G246" s="114">
        <v>35.99</v>
      </c>
      <c r="H246" s="114">
        <v>35.99</v>
      </c>
      <c r="I246" s="115" t="s">
        <v>42</v>
      </c>
      <c r="J246" s="115"/>
      <c r="K246" s="115" t="s">
        <v>16</v>
      </c>
      <c r="L246" s="115" t="s">
        <v>378</v>
      </c>
      <c r="M246" s="114">
        <v>11650000</v>
      </c>
      <c r="N246" s="114">
        <v>11650000</v>
      </c>
      <c r="O246" s="114">
        <v>11844167</v>
      </c>
      <c r="P246" s="114">
        <v>11844167</v>
      </c>
      <c r="Q246" s="112" t="s">
        <v>508</v>
      </c>
    </row>
    <row r="247" spans="1:17" ht="17.7" customHeight="1">
      <c r="A247" s="111">
        <v>243</v>
      </c>
      <c r="B247" s="112">
        <v>2906</v>
      </c>
      <c r="C247" s="112" t="s">
        <v>293</v>
      </c>
      <c r="D247" s="112" t="s">
        <v>251</v>
      </c>
      <c r="E247" s="112">
        <v>1728</v>
      </c>
      <c r="F247" s="113">
        <v>326521.74</v>
      </c>
      <c r="G247" s="114">
        <v>69</v>
      </c>
      <c r="H247" s="114">
        <v>69</v>
      </c>
      <c r="I247" s="115" t="s">
        <v>19</v>
      </c>
      <c r="J247" s="115" t="s">
        <v>532</v>
      </c>
      <c r="K247" s="115" t="s">
        <v>16</v>
      </c>
      <c r="L247" s="115" t="s">
        <v>378</v>
      </c>
      <c r="M247" s="114">
        <v>0</v>
      </c>
      <c r="N247" s="114">
        <v>22530000</v>
      </c>
      <c r="O247" s="114">
        <v>22530000</v>
      </c>
      <c r="P247" s="114">
        <v>0</v>
      </c>
    </row>
    <row r="248" spans="1:17" ht="17.7" customHeight="1">
      <c r="A248" s="111">
        <v>244</v>
      </c>
      <c r="B248" s="112">
        <v>3001</v>
      </c>
      <c r="C248" s="112" t="s">
        <v>294</v>
      </c>
      <c r="D248" s="112" t="s">
        <v>241</v>
      </c>
      <c r="E248" s="112">
        <v>1728</v>
      </c>
      <c r="F248" s="113">
        <v>326489.88</v>
      </c>
      <c r="G248" s="114">
        <v>34.9</v>
      </c>
      <c r="H248" s="114">
        <v>35.07</v>
      </c>
      <c r="I248" s="115" t="s">
        <v>19</v>
      </c>
      <c r="J248" s="115" t="s">
        <v>532</v>
      </c>
      <c r="K248" s="115" t="s">
        <v>16</v>
      </c>
      <c r="L248" s="115" t="s">
        <v>378</v>
      </c>
      <c r="M248" s="114">
        <v>0</v>
      </c>
      <c r="N248" s="114">
        <v>11450000</v>
      </c>
      <c r="O248" s="114">
        <v>11450000</v>
      </c>
      <c r="P248" s="114">
        <v>0</v>
      </c>
    </row>
    <row r="249" spans="1:17" ht="16.95" customHeight="1">
      <c r="A249" s="111">
        <v>245</v>
      </c>
      <c r="B249" s="112">
        <v>3002</v>
      </c>
      <c r="C249" s="112" t="s">
        <v>295</v>
      </c>
      <c r="D249" s="112" t="s">
        <v>243</v>
      </c>
      <c r="E249" s="112">
        <v>1728</v>
      </c>
      <c r="F249" s="113">
        <v>317200</v>
      </c>
      <c r="G249" s="114">
        <v>50.1</v>
      </c>
      <c r="H249" s="114">
        <v>50.1</v>
      </c>
      <c r="I249" s="115" t="s">
        <v>42</v>
      </c>
      <c r="J249" s="115"/>
      <c r="K249" s="115" t="s">
        <v>16</v>
      </c>
      <c r="L249" s="115" t="s">
        <v>378</v>
      </c>
      <c r="M249" s="114">
        <v>15860000</v>
      </c>
      <c r="N249" s="114">
        <v>15860000</v>
      </c>
      <c r="O249" s="114">
        <v>15891720</v>
      </c>
      <c r="P249" s="114">
        <v>15891720</v>
      </c>
      <c r="Q249" s="112" t="s">
        <v>509</v>
      </c>
    </row>
    <row r="250" spans="1:17" ht="17.7" customHeight="1">
      <c r="A250" s="111">
        <v>246</v>
      </c>
      <c r="B250" s="112">
        <v>3003</v>
      </c>
      <c r="C250" s="112" t="s">
        <v>296</v>
      </c>
      <c r="D250" s="112" t="s">
        <v>245</v>
      </c>
      <c r="E250" s="112">
        <v>1728</v>
      </c>
      <c r="F250" s="113">
        <v>273823</v>
      </c>
      <c r="G250" s="114">
        <v>73.040000000000006</v>
      </c>
      <c r="H250" s="114">
        <v>73.040000000000006</v>
      </c>
      <c r="I250" s="115" t="s">
        <v>42</v>
      </c>
      <c r="J250" s="115"/>
      <c r="K250" s="115" t="s">
        <v>16</v>
      </c>
      <c r="L250" s="115" t="s">
        <v>378</v>
      </c>
      <c r="M250" s="114">
        <v>20000000</v>
      </c>
      <c r="N250" s="114">
        <v>20000000</v>
      </c>
      <c r="O250" s="114">
        <v>20000000</v>
      </c>
      <c r="P250" s="114">
        <v>19689255.800000001</v>
      </c>
      <c r="Q250" s="112" t="s">
        <v>510</v>
      </c>
    </row>
    <row r="251" spans="1:17" ht="16.95" customHeight="1">
      <c r="A251" s="111">
        <v>247</v>
      </c>
      <c r="B251" s="112">
        <v>3004</v>
      </c>
      <c r="C251" s="112" t="s">
        <v>297</v>
      </c>
      <c r="D251" s="112" t="s">
        <v>247</v>
      </c>
      <c r="E251" s="112">
        <v>1728</v>
      </c>
      <c r="F251" s="113">
        <v>323600</v>
      </c>
      <c r="G251" s="114">
        <v>50.1</v>
      </c>
      <c r="H251" s="114">
        <v>50.1</v>
      </c>
      <c r="I251" s="115" t="s">
        <v>42</v>
      </c>
      <c r="J251" s="115"/>
      <c r="K251" s="115" t="s">
        <v>16</v>
      </c>
      <c r="L251" s="115" t="s">
        <v>378</v>
      </c>
      <c r="M251" s="114">
        <v>16180000</v>
      </c>
      <c r="N251" s="114">
        <v>16180000</v>
      </c>
      <c r="O251" s="114">
        <v>16212360</v>
      </c>
      <c r="P251" s="114">
        <v>16212360</v>
      </c>
      <c r="Q251" s="112" t="s">
        <v>511</v>
      </c>
    </row>
    <row r="252" spans="1:17" ht="17.7" customHeight="1">
      <c r="A252" s="111">
        <v>248</v>
      </c>
      <c r="B252" s="112">
        <v>3005</v>
      </c>
      <c r="C252" s="112" t="s">
        <v>298</v>
      </c>
      <c r="D252" s="112" t="s">
        <v>249</v>
      </c>
      <c r="E252" s="112">
        <v>1728</v>
      </c>
      <c r="F252" s="113">
        <v>330226</v>
      </c>
      <c r="G252" s="114">
        <v>35.99</v>
      </c>
      <c r="H252" s="114">
        <v>35.99</v>
      </c>
      <c r="I252" s="115" t="s">
        <v>42</v>
      </c>
      <c r="J252" s="115"/>
      <c r="K252" s="115" t="s">
        <v>16</v>
      </c>
      <c r="L252" s="115" t="s">
        <v>378</v>
      </c>
      <c r="M252" s="114">
        <v>11690000</v>
      </c>
      <c r="N252" s="114">
        <v>11690000</v>
      </c>
      <c r="O252" s="114">
        <v>11884834</v>
      </c>
      <c r="P252" s="114">
        <v>11845964</v>
      </c>
      <c r="Q252" s="112" t="s">
        <v>512</v>
      </c>
    </row>
    <row r="253" spans="1:17" ht="17.7" customHeight="1">
      <c r="A253" s="111">
        <v>249</v>
      </c>
      <c r="B253" s="112">
        <v>3006</v>
      </c>
      <c r="C253" s="112" t="s">
        <v>299</v>
      </c>
      <c r="D253" s="112" t="s">
        <v>251</v>
      </c>
      <c r="E253" s="112">
        <v>1728</v>
      </c>
      <c r="F253" s="113">
        <v>342753.62</v>
      </c>
      <c r="G253" s="114">
        <v>69</v>
      </c>
      <c r="H253" s="114">
        <v>69</v>
      </c>
      <c r="I253" s="115" t="s">
        <v>19</v>
      </c>
      <c r="J253" s="115" t="s">
        <v>530</v>
      </c>
      <c r="K253" s="115" t="s">
        <v>16</v>
      </c>
      <c r="L253" s="115" t="s">
        <v>378</v>
      </c>
      <c r="M253" s="114">
        <v>0</v>
      </c>
      <c r="N253" s="114">
        <v>23650000</v>
      </c>
      <c r="O253" s="114">
        <v>23650000</v>
      </c>
      <c r="P253" s="114">
        <v>0</v>
      </c>
    </row>
    <row r="254" spans="1:17" ht="16.95" customHeight="1">
      <c r="A254" s="111">
        <v>250</v>
      </c>
      <c r="B254" s="112">
        <v>3101</v>
      </c>
      <c r="C254" s="112" t="s">
        <v>300</v>
      </c>
      <c r="D254" s="112" t="s">
        <v>241</v>
      </c>
      <c r="E254" s="112">
        <v>1728</v>
      </c>
      <c r="F254" s="113">
        <v>278871</v>
      </c>
      <c r="G254" s="114">
        <v>35.07</v>
      </c>
      <c r="H254" s="114">
        <v>35.07</v>
      </c>
      <c r="I254" s="115" t="s">
        <v>42</v>
      </c>
      <c r="J254" s="115"/>
      <c r="K254" s="115" t="s">
        <v>16</v>
      </c>
      <c r="L254" s="115" t="s">
        <v>378</v>
      </c>
      <c r="M254" s="114">
        <v>9780000</v>
      </c>
      <c r="N254" s="114">
        <v>9780000</v>
      </c>
      <c r="O254" s="114">
        <v>9780000</v>
      </c>
      <c r="P254" s="114">
        <v>9429717.4000000004</v>
      </c>
      <c r="Q254" s="112" t="s">
        <v>513</v>
      </c>
    </row>
    <row r="255" spans="1:17" ht="16.95" customHeight="1">
      <c r="A255" s="111">
        <v>251</v>
      </c>
      <c r="B255" s="112">
        <v>3102</v>
      </c>
      <c r="C255" s="112" t="s">
        <v>301</v>
      </c>
      <c r="D255" s="112" t="s">
        <v>243</v>
      </c>
      <c r="E255" s="112">
        <v>1728</v>
      </c>
      <c r="F255" s="113">
        <v>259481</v>
      </c>
      <c r="G255" s="114">
        <v>50.1</v>
      </c>
      <c r="H255" s="114">
        <v>50.1</v>
      </c>
      <c r="I255" s="115" t="s">
        <v>42</v>
      </c>
      <c r="J255" s="115"/>
      <c r="K255" s="115" t="s">
        <v>16</v>
      </c>
      <c r="L255" s="115" t="s">
        <v>378</v>
      </c>
      <c r="M255" s="114">
        <v>13000000</v>
      </c>
      <c r="N255" s="114">
        <v>13000000</v>
      </c>
      <c r="O255" s="114">
        <v>13000000</v>
      </c>
      <c r="P255" s="114">
        <v>13000000</v>
      </c>
      <c r="Q255" s="112" t="s">
        <v>514</v>
      </c>
    </row>
    <row r="256" spans="1:17" ht="17.7" customHeight="1">
      <c r="A256" s="111">
        <v>252</v>
      </c>
      <c r="B256" s="112">
        <v>3103</v>
      </c>
      <c r="C256" s="112" t="s">
        <v>302</v>
      </c>
      <c r="D256" s="112" t="s">
        <v>245</v>
      </c>
      <c r="E256" s="112">
        <v>1728</v>
      </c>
      <c r="F256" s="113">
        <v>319140.2</v>
      </c>
      <c r="G256" s="114">
        <v>73</v>
      </c>
      <c r="H256" s="114">
        <v>73.040000000000006</v>
      </c>
      <c r="I256" s="115" t="s">
        <v>19</v>
      </c>
      <c r="J256" s="115" t="s">
        <v>530</v>
      </c>
      <c r="K256" s="115" t="s">
        <v>16</v>
      </c>
      <c r="L256" s="115" t="s">
        <v>378</v>
      </c>
      <c r="M256" s="114">
        <v>0</v>
      </c>
      <c r="N256" s="114">
        <v>23310000</v>
      </c>
      <c r="O256" s="114">
        <v>23310000</v>
      </c>
      <c r="P256" s="114">
        <v>0</v>
      </c>
    </row>
    <row r="257" spans="1:17" ht="17.7" customHeight="1">
      <c r="A257" s="111">
        <v>253</v>
      </c>
      <c r="B257" s="112">
        <v>3104</v>
      </c>
      <c r="C257" s="112" t="s">
        <v>303</v>
      </c>
      <c r="D257" s="112" t="s">
        <v>247</v>
      </c>
      <c r="E257" s="112">
        <v>1728</v>
      </c>
      <c r="F257" s="113">
        <v>333000</v>
      </c>
      <c r="G257" s="114">
        <v>50.1</v>
      </c>
      <c r="H257" s="114">
        <v>50.1</v>
      </c>
      <c r="I257" s="115" t="s">
        <v>42</v>
      </c>
      <c r="J257" s="115"/>
      <c r="K257" s="115" t="s">
        <v>16</v>
      </c>
      <c r="L257" s="115" t="s">
        <v>378</v>
      </c>
      <c r="M257" s="114">
        <v>16650000</v>
      </c>
      <c r="N257" s="114">
        <v>16650000</v>
      </c>
      <c r="O257" s="114">
        <v>16683300</v>
      </c>
      <c r="P257" s="114">
        <v>16683300</v>
      </c>
      <c r="Q257" s="112" t="s">
        <v>515</v>
      </c>
    </row>
    <row r="258" spans="1:17" ht="16.95" customHeight="1">
      <c r="A258" s="111">
        <v>254</v>
      </c>
      <c r="B258" s="112">
        <v>3105</v>
      </c>
      <c r="C258" s="112" t="s">
        <v>304</v>
      </c>
      <c r="D258" s="112" t="s">
        <v>249</v>
      </c>
      <c r="E258" s="112">
        <v>1728</v>
      </c>
      <c r="F258" s="113">
        <v>278619</v>
      </c>
      <c r="G258" s="114">
        <v>35.99</v>
      </c>
      <c r="H258" s="114">
        <v>35.99</v>
      </c>
      <c r="I258" s="115" t="s">
        <v>42</v>
      </c>
      <c r="J258" s="115"/>
      <c r="K258" s="115" t="s">
        <v>16</v>
      </c>
      <c r="L258" s="115" t="s">
        <v>378</v>
      </c>
      <c r="M258" s="114">
        <v>10027500</v>
      </c>
      <c r="N258" s="114">
        <v>10027500</v>
      </c>
      <c r="O258" s="114">
        <v>10027500</v>
      </c>
      <c r="P258" s="114">
        <v>9673305.8000000007</v>
      </c>
      <c r="Q258" s="112" t="s">
        <v>513</v>
      </c>
    </row>
    <row r="259" spans="1:17" ht="17.7" customHeight="1">
      <c r="A259" s="111">
        <v>255</v>
      </c>
      <c r="B259" s="112">
        <v>3106</v>
      </c>
      <c r="C259" s="112" t="s">
        <v>305</v>
      </c>
      <c r="D259" s="112" t="s">
        <v>251</v>
      </c>
      <c r="E259" s="112">
        <v>1728</v>
      </c>
      <c r="F259" s="113">
        <v>328985.51</v>
      </c>
      <c r="G259" s="114">
        <v>69</v>
      </c>
      <c r="H259" s="114">
        <v>69</v>
      </c>
      <c r="I259" s="115" t="s">
        <v>19</v>
      </c>
      <c r="J259" s="115" t="s">
        <v>533</v>
      </c>
      <c r="K259" s="115" t="s">
        <v>16</v>
      </c>
      <c r="L259" s="115" t="s">
        <v>378</v>
      </c>
      <c r="M259" s="114">
        <v>0</v>
      </c>
      <c r="N259" s="114">
        <v>22700000</v>
      </c>
      <c r="O259" s="114">
        <v>22700000</v>
      </c>
      <c r="P259" s="114">
        <v>0</v>
      </c>
    </row>
    <row r="260" spans="1:17" ht="16.95" customHeight="1">
      <c r="A260" s="111">
        <v>256</v>
      </c>
      <c r="B260" s="112">
        <v>3201</v>
      </c>
      <c r="C260" s="112" t="s">
        <v>306</v>
      </c>
      <c r="D260" s="112" t="s">
        <v>241</v>
      </c>
      <c r="E260" s="112">
        <v>1728</v>
      </c>
      <c r="F260" s="113">
        <v>328771.03000000003</v>
      </c>
      <c r="G260" s="114">
        <v>34.9</v>
      </c>
      <c r="H260" s="114">
        <v>35.07</v>
      </c>
      <c r="I260" s="115" t="s">
        <v>19</v>
      </c>
      <c r="J260" s="115" t="s">
        <v>532</v>
      </c>
      <c r="K260" s="115" t="s">
        <v>16</v>
      </c>
      <c r="L260" s="115" t="s">
        <v>378</v>
      </c>
      <c r="M260" s="114">
        <v>0</v>
      </c>
      <c r="N260" s="114">
        <v>11530000</v>
      </c>
      <c r="O260" s="114">
        <v>11530000</v>
      </c>
      <c r="P260" s="114">
        <v>0</v>
      </c>
    </row>
    <row r="261" spans="1:17" ht="17.7" customHeight="1">
      <c r="A261" s="111">
        <v>257</v>
      </c>
      <c r="B261" s="112">
        <v>3202</v>
      </c>
      <c r="C261" s="112" t="s">
        <v>307</v>
      </c>
      <c r="D261" s="112" t="s">
        <v>243</v>
      </c>
      <c r="E261" s="112">
        <v>1728</v>
      </c>
      <c r="F261" s="113">
        <v>317764.46999999997</v>
      </c>
      <c r="G261" s="114">
        <v>50</v>
      </c>
      <c r="H261" s="114">
        <v>50.1</v>
      </c>
      <c r="I261" s="115" t="s">
        <v>19</v>
      </c>
      <c r="J261" s="115" t="s">
        <v>531</v>
      </c>
      <c r="K261" s="115" t="s">
        <v>16</v>
      </c>
      <c r="L261" s="115" t="s">
        <v>378</v>
      </c>
      <c r="M261" s="114">
        <v>0</v>
      </c>
      <c r="N261" s="114">
        <v>15920000</v>
      </c>
      <c r="O261" s="114">
        <v>15920000</v>
      </c>
      <c r="P261" s="114">
        <v>0</v>
      </c>
    </row>
    <row r="262" spans="1:17" ht="17.7" customHeight="1">
      <c r="A262" s="111">
        <v>258</v>
      </c>
      <c r="B262" s="112">
        <v>3203</v>
      </c>
      <c r="C262" s="112" t="s">
        <v>308</v>
      </c>
      <c r="D262" s="112" t="s">
        <v>245</v>
      </c>
      <c r="E262" s="112">
        <v>1728</v>
      </c>
      <c r="F262" s="113">
        <v>320235.49</v>
      </c>
      <c r="G262" s="114">
        <v>73</v>
      </c>
      <c r="H262" s="114">
        <v>73.040000000000006</v>
      </c>
      <c r="I262" s="115" t="s">
        <v>19</v>
      </c>
      <c r="J262" s="115" t="s">
        <v>531</v>
      </c>
      <c r="K262" s="115" t="s">
        <v>16</v>
      </c>
      <c r="L262" s="115" t="s">
        <v>378</v>
      </c>
      <c r="M262" s="114">
        <v>0</v>
      </c>
      <c r="N262" s="114">
        <v>23390000</v>
      </c>
      <c r="O262" s="114">
        <v>23390000</v>
      </c>
      <c r="P262" s="114">
        <v>0</v>
      </c>
    </row>
    <row r="263" spans="1:17" ht="16.95" customHeight="1">
      <c r="A263" s="111">
        <v>259</v>
      </c>
      <c r="B263" s="112">
        <v>3204</v>
      </c>
      <c r="C263" s="112" t="s">
        <v>309</v>
      </c>
      <c r="D263" s="112" t="s">
        <v>247</v>
      </c>
      <c r="E263" s="112">
        <v>1728</v>
      </c>
      <c r="F263" s="113">
        <v>338323.35</v>
      </c>
      <c r="G263" s="114">
        <v>50</v>
      </c>
      <c r="H263" s="114">
        <v>50.1</v>
      </c>
      <c r="I263" s="115" t="s">
        <v>19</v>
      </c>
      <c r="J263" s="115" t="s">
        <v>533</v>
      </c>
      <c r="K263" s="115" t="s">
        <v>16</v>
      </c>
      <c r="L263" s="115" t="s">
        <v>378</v>
      </c>
      <c r="M263" s="114">
        <v>0</v>
      </c>
      <c r="N263" s="114">
        <v>16950000</v>
      </c>
      <c r="O263" s="114">
        <v>16950000</v>
      </c>
      <c r="P263" s="114">
        <v>0</v>
      </c>
    </row>
    <row r="264" spans="1:17" ht="17.7" customHeight="1">
      <c r="A264" s="111">
        <v>260</v>
      </c>
      <c r="B264" s="112">
        <v>3205</v>
      </c>
      <c r="C264" s="112" t="s">
        <v>310</v>
      </c>
      <c r="D264" s="112" t="s">
        <v>249</v>
      </c>
      <c r="E264" s="112">
        <v>1728</v>
      </c>
      <c r="F264" s="113">
        <v>332486</v>
      </c>
      <c r="G264" s="114">
        <v>35.99</v>
      </c>
      <c r="H264" s="114">
        <v>35.99</v>
      </c>
      <c r="I264" s="115" t="s">
        <v>42</v>
      </c>
      <c r="J264" s="115"/>
      <c r="K264" s="115" t="s">
        <v>16</v>
      </c>
      <c r="L264" s="115" t="s">
        <v>378</v>
      </c>
      <c r="M264" s="114">
        <v>11770000</v>
      </c>
      <c r="N264" s="114">
        <v>11770000</v>
      </c>
      <c r="O264" s="114">
        <v>11966167</v>
      </c>
      <c r="P264" s="114">
        <v>11927297</v>
      </c>
      <c r="Q264" s="112" t="s">
        <v>516</v>
      </c>
    </row>
    <row r="265" spans="1:17" ht="17.7" customHeight="1">
      <c r="A265" s="111">
        <v>261</v>
      </c>
      <c r="B265" s="112">
        <v>3206</v>
      </c>
      <c r="C265" s="112" t="s">
        <v>311</v>
      </c>
      <c r="D265" s="112" t="s">
        <v>251</v>
      </c>
      <c r="E265" s="112">
        <v>1728</v>
      </c>
      <c r="F265" s="113">
        <v>330580</v>
      </c>
      <c r="G265" s="114">
        <v>69</v>
      </c>
      <c r="H265" s="114">
        <v>69</v>
      </c>
      <c r="I265" s="115" t="s">
        <v>42</v>
      </c>
      <c r="J265" s="115"/>
      <c r="K265" s="115" t="s">
        <v>16</v>
      </c>
      <c r="L265" s="115" t="s">
        <v>378</v>
      </c>
      <c r="M265" s="114">
        <v>22810000</v>
      </c>
      <c r="N265" s="114">
        <v>22810000</v>
      </c>
      <c r="O265" s="114">
        <v>22810000</v>
      </c>
      <c r="P265" s="114">
        <v>22735480</v>
      </c>
      <c r="Q265" s="112" t="s">
        <v>517</v>
      </c>
    </row>
    <row r="266" spans="1:17" ht="16.95" customHeight="1">
      <c r="A266" s="111">
        <v>262</v>
      </c>
      <c r="B266" s="112">
        <v>3301</v>
      </c>
      <c r="C266" s="112" t="s">
        <v>312</v>
      </c>
      <c r="D266" s="112" t="s">
        <v>241</v>
      </c>
      <c r="E266" s="112">
        <v>1728</v>
      </c>
      <c r="F266" s="113">
        <v>350157</v>
      </c>
      <c r="G266" s="114">
        <v>35.07</v>
      </c>
      <c r="H266" s="114">
        <v>35.07</v>
      </c>
      <c r="I266" s="115" t="s">
        <v>42</v>
      </c>
      <c r="J266" s="115"/>
      <c r="K266" s="115" t="s">
        <v>16</v>
      </c>
      <c r="L266" s="115" t="s">
        <v>378</v>
      </c>
      <c r="M266" s="114">
        <v>12280000</v>
      </c>
      <c r="N266" s="114">
        <v>12280000</v>
      </c>
      <c r="O266" s="114">
        <v>12280000</v>
      </c>
      <c r="P266" s="114">
        <v>12280000</v>
      </c>
      <c r="Q266" s="112" t="s">
        <v>467</v>
      </c>
    </row>
    <row r="267" spans="1:17" ht="17.7" customHeight="1">
      <c r="A267" s="111">
        <v>263</v>
      </c>
      <c r="B267" s="112">
        <v>3302</v>
      </c>
      <c r="C267" s="112" t="s">
        <v>313</v>
      </c>
      <c r="D267" s="112" t="s">
        <v>243</v>
      </c>
      <c r="E267" s="112">
        <v>1728</v>
      </c>
      <c r="F267" s="113">
        <v>320600</v>
      </c>
      <c r="G267" s="114">
        <v>50.1</v>
      </c>
      <c r="H267" s="114">
        <v>50.1</v>
      </c>
      <c r="I267" s="115" t="s">
        <v>42</v>
      </c>
      <c r="J267" s="115"/>
      <c r="K267" s="115" t="s">
        <v>16</v>
      </c>
      <c r="L267" s="115" t="s">
        <v>378</v>
      </c>
      <c r="M267" s="114">
        <v>16030000</v>
      </c>
      <c r="N267" s="114">
        <v>16030000</v>
      </c>
      <c r="O267" s="114">
        <v>16062060</v>
      </c>
      <c r="P267" s="114">
        <v>16062060</v>
      </c>
      <c r="Q267" s="112" t="s">
        <v>518</v>
      </c>
    </row>
    <row r="268" spans="1:17" ht="16.95" customHeight="1">
      <c r="A268" s="111">
        <v>264</v>
      </c>
      <c r="B268" s="112">
        <v>3303</v>
      </c>
      <c r="C268" s="112" t="s">
        <v>314</v>
      </c>
      <c r="D268" s="112" t="s">
        <v>245</v>
      </c>
      <c r="E268" s="112">
        <v>1728</v>
      </c>
      <c r="F268" s="113">
        <v>334884.99</v>
      </c>
      <c r="G268" s="114">
        <v>73</v>
      </c>
      <c r="H268" s="114">
        <v>73.040000000000006</v>
      </c>
      <c r="I268" s="115" t="s">
        <v>19</v>
      </c>
      <c r="J268" s="115" t="s">
        <v>530</v>
      </c>
      <c r="K268" s="115" t="s">
        <v>16</v>
      </c>
      <c r="L268" s="115" t="s">
        <v>378</v>
      </c>
      <c r="M268" s="114">
        <v>0</v>
      </c>
      <c r="N268" s="114">
        <v>24460000</v>
      </c>
      <c r="O268" s="114">
        <v>24460000</v>
      </c>
      <c r="P268" s="114">
        <v>0</v>
      </c>
    </row>
    <row r="269" spans="1:17" ht="17.7" customHeight="1">
      <c r="A269" s="111">
        <v>265</v>
      </c>
      <c r="B269" s="112">
        <v>3304</v>
      </c>
      <c r="C269" s="112" t="s">
        <v>315</v>
      </c>
      <c r="D269" s="112" t="s">
        <v>247</v>
      </c>
      <c r="E269" s="112">
        <v>1728</v>
      </c>
      <c r="F269" s="113">
        <v>325548.90000000002</v>
      </c>
      <c r="G269" s="114">
        <v>50</v>
      </c>
      <c r="H269" s="114">
        <v>50.1</v>
      </c>
      <c r="I269" s="115" t="s">
        <v>19</v>
      </c>
      <c r="J269" s="115" t="s">
        <v>533</v>
      </c>
      <c r="K269" s="115" t="s">
        <v>16</v>
      </c>
      <c r="L269" s="115" t="s">
        <v>378</v>
      </c>
      <c r="M269" s="114">
        <v>0</v>
      </c>
      <c r="N269" s="114">
        <v>16310000</v>
      </c>
      <c r="O269" s="114">
        <v>16310000</v>
      </c>
      <c r="P269" s="114">
        <v>0</v>
      </c>
    </row>
    <row r="270" spans="1:17" ht="17.7" customHeight="1">
      <c r="A270" s="111">
        <v>266</v>
      </c>
      <c r="B270" s="112">
        <v>3305</v>
      </c>
      <c r="C270" s="112" t="s">
        <v>316</v>
      </c>
      <c r="D270" s="112" t="s">
        <v>249</v>
      </c>
      <c r="E270" s="112">
        <v>1728</v>
      </c>
      <c r="F270" s="113">
        <v>275076</v>
      </c>
      <c r="G270" s="114">
        <v>35.99</v>
      </c>
      <c r="H270" s="114">
        <v>35.99</v>
      </c>
      <c r="I270" s="115" t="s">
        <v>42</v>
      </c>
      <c r="J270" s="115"/>
      <c r="K270" s="115" t="s">
        <v>16</v>
      </c>
      <c r="L270" s="115" t="s">
        <v>378</v>
      </c>
      <c r="M270" s="114">
        <v>9900000</v>
      </c>
      <c r="N270" s="114">
        <v>9900000</v>
      </c>
      <c r="O270" s="114">
        <v>9900000</v>
      </c>
      <c r="P270" s="114">
        <v>9744833.8000000007</v>
      </c>
      <c r="Q270" s="112" t="s">
        <v>519</v>
      </c>
    </row>
    <row r="271" spans="1:17" ht="16.95" customHeight="1">
      <c r="A271" s="111">
        <v>267</v>
      </c>
      <c r="B271" s="112">
        <v>3306</v>
      </c>
      <c r="C271" s="112" t="s">
        <v>317</v>
      </c>
      <c r="D271" s="112" t="s">
        <v>251</v>
      </c>
      <c r="E271" s="112">
        <v>1728</v>
      </c>
      <c r="F271" s="113">
        <v>331739</v>
      </c>
      <c r="G271" s="114">
        <v>69</v>
      </c>
      <c r="H271" s="114">
        <v>69</v>
      </c>
      <c r="I271" s="115" t="s">
        <v>42</v>
      </c>
      <c r="J271" s="115"/>
      <c r="K271" s="115" t="s">
        <v>16</v>
      </c>
      <c r="L271" s="115" t="s">
        <v>378</v>
      </c>
      <c r="M271" s="114">
        <v>22890000</v>
      </c>
      <c r="N271" s="114">
        <v>22890000</v>
      </c>
      <c r="O271" s="114">
        <v>22890000</v>
      </c>
      <c r="P271" s="114">
        <v>22890000</v>
      </c>
      <c r="Q271" s="112" t="s">
        <v>520</v>
      </c>
    </row>
    <row r="272" spans="1:17" ht="17.7" customHeight="1">
      <c r="A272" s="111">
        <v>268</v>
      </c>
      <c r="B272" s="112">
        <v>3401</v>
      </c>
      <c r="C272" s="112" t="s">
        <v>318</v>
      </c>
      <c r="D272" s="112" t="s">
        <v>241</v>
      </c>
      <c r="E272" s="112">
        <v>1728</v>
      </c>
      <c r="F272" s="113">
        <v>331337.33</v>
      </c>
      <c r="G272" s="114">
        <v>34.9</v>
      </c>
      <c r="H272" s="114">
        <v>35.07</v>
      </c>
      <c r="I272" s="115" t="s">
        <v>19</v>
      </c>
      <c r="J272" s="115" t="s">
        <v>532</v>
      </c>
      <c r="K272" s="115" t="s">
        <v>16</v>
      </c>
      <c r="L272" s="115" t="s">
        <v>378</v>
      </c>
      <c r="M272" s="114">
        <v>0</v>
      </c>
      <c r="N272" s="114">
        <v>11620000</v>
      </c>
      <c r="O272" s="114">
        <v>11620000</v>
      </c>
      <c r="P272" s="114">
        <v>0</v>
      </c>
    </row>
    <row r="273" spans="1:17" ht="17.7" customHeight="1">
      <c r="A273" s="111">
        <v>269</v>
      </c>
      <c r="B273" s="112">
        <v>3402</v>
      </c>
      <c r="C273" s="112" t="s">
        <v>319</v>
      </c>
      <c r="D273" s="112" t="s">
        <v>243</v>
      </c>
      <c r="E273" s="112">
        <v>1728</v>
      </c>
      <c r="F273" s="113">
        <v>340319.36</v>
      </c>
      <c r="G273" s="114">
        <v>50</v>
      </c>
      <c r="H273" s="114">
        <v>50.1</v>
      </c>
      <c r="I273" s="115" t="s">
        <v>19</v>
      </c>
      <c r="J273" s="115" t="s">
        <v>531</v>
      </c>
      <c r="K273" s="115" t="s">
        <v>16</v>
      </c>
      <c r="L273" s="115" t="s">
        <v>378</v>
      </c>
      <c r="M273" s="114">
        <v>0</v>
      </c>
      <c r="N273" s="114">
        <v>17050000</v>
      </c>
      <c r="O273" s="114">
        <v>17050000</v>
      </c>
      <c r="P273" s="114">
        <v>0</v>
      </c>
    </row>
    <row r="274" spans="1:17" ht="16.95" customHeight="1">
      <c r="A274" s="111">
        <v>270</v>
      </c>
      <c r="B274" s="112">
        <v>3403</v>
      </c>
      <c r="C274" s="112" t="s">
        <v>320</v>
      </c>
      <c r="D274" s="112" t="s">
        <v>245</v>
      </c>
      <c r="E274" s="112">
        <v>1728</v>
      </c>
      <c r="F274" s="113">
        <v>383352</v>
      </c>
      <c r="G274" s="114">
        <v>73.040000000000006</v>
      </c>
      <c r="H274" s="114">
        <v>73.040000000000006</v>
      </c>
      <c r="I274" s="115" t="s">
        <v>42</v>
      </c>
      <c r="J274" s="115"/>
      <c r="K274" s="115" t="s">
        <v>16</v>
      </c>
      <c r="L274" s="115" t="s">
        <v>378</v>
      </c>
      <c r="M274" s="114">
        <v>28000000</v>
      </c>
      <c r="N274" s="114">
        <v>28000000</v>
      </c>
      <c r="O274" s="114">
        <v>28000000</v>
      </c>
      <c r="P274" s="114">
        <v>27485384.800000001</v>
      </c>
      <c r="Q274" s="112" t="s">
        <v>521</v>
      </c>
    </row>
    <row r="275" spans="1:17" ht="17.7" customHeight="1">
      <c r="A275" s="111">
        <v>271</v>
      </c>
      <c r="B275" s="112">
        <v>3404</v>
      </c>
      <c r="C275" s="112" t="s">
        <v>321</v>
      </c>
      <c r="D275" s="112" t="s">
        <v>247</v>
      </c>
      <c r="E275" s="112">
        <v>1728</v>
      </c>
      <c r="F275" s="113">
        <v>359281</v>
      </c>
      <c r="G275" s="114">
        <v>50.1</v>
      </c>
      <c r="H275" s="114">
        <v>50.1</v>
      </c>
      <c r="I275" s="115" t="s">
        <v>42</v>
      </c>
      <c r="J275" s="115"/>
      <c r="K275" s="115" t="s">
        <v>16</v>
      </c>
      <c r="L275" s="115" t="s">
        <v>378</v>
      </c>
      <c r="M275" s="114">
        <v>18000000</v>
      </c>
      <c r="N275" s="114">
        <v>18000000</v>
      </c>
      <c r="O275" s="114">
        <v>18000000</v>
      </c>
      <c r="P275" s="114">
        <v>17583820</v>
      </c>
      <c r="Q275" s="112" t="s">
        <v>521</v>
      </c>
    </row>
    <row r="276" spans="1:17" ht="16.95" customHeight="1">
      <c r="A276" s="111">
        <v>272</v>
      </c>
      <c r="B276" s="112">
        <v>3405</v>
      </c>
      <c r="C276" s="112" t="s">
        <v>322</v>
      </c>
      <c r="D276" s="112" t="s">
        <v>249</v>
      </c>
      <c r="E276" s="112">
        <v>1728</v>
      </c>
      <c r="F276" s="113">
        <v>346045</v>
      </c>
      <c r="G276" s="114">
        <v>35.99</v>
      </c>
      <c r="H276" s="114">
        <v>35.99</v>
      </c>
      <c r="I276" s="115" t="s">
        <v>42</v>
      </c>
      <c r="J276" s="115"/>
      <c r="K276" s="115" t="s">
        <v>16</v>
      </c>
      <c r="L276" s="115" t="s">
        <v>378</v>
      </c>
      <c r="M276" s="114">
        <v>12250000</v>
      </c>
      <c r="N276" s="114">
        <v>12250000</v>
      </c>
      <c r="O276" s="114">
        <v>12454167</v>
      </c>
      <c r="P276" s="114">
        <v>12454167</v>
      </c>
      <c r="Q276" s="112" t="s">
        <v>522</v>
      </c>
    </row>
    <row r="277" spans="1:17" ht="17.7" customHeight="1">
      <c r="A277" s="111">
        <v>273</v>
      </c>
      <c r="B277" s="112">
        <v>3406</v>
      </c>
      <c r="C277" s="112" t="s">
        <v>323</v>
      </c>
      <c r="D277" s="112" t="s">
        <v>251</v>
      </c>
      <c r="E277" s="112">
        <v>1728</v>
      </c>
      <c r="F277" s="113">
        <v>332463.77</v>
      </c>
      <c r="G277" s="114">
        <v>69</v>
      </c>
      <c r="H277" s="114">
        <v>69</v>
      </c>
      <c r="I277" s="115" t="s">
        <v>19</v>
      </c>
      <c r="J277" s="115" t="s">
        <v>531</v>
      </c>
      <c r="K277" s="115" t="s">
        <v>16</v>
      </c>
      <c r="L277" s="115" t="s">
        <v>378</v>
      </c>
      <c r="M277" s="114">
        <v>0</v>
      </c>
      <c r="N277" s="114">
        <v>22940000</v>
      </c>
      <c r="O277" s="114">
        <v>22940000</v>
      </c>
      <c r="P277" s="114">
        <v>0</v>
      </c>
    </row>
    <row r="278" spans="1:17" ht="17.7" customHeight="1">
      <c r="A278" s="111">
        <v>274</v>
      </c>
      <c r="B278" s="112">
        <v>3501</v>
      </c>
      <c r="C278" s="112" t="s">
        <v>324</v>
      </c>
      <c r="D278" s="112" t="s">
        <v>241</v>
      </c>
      <c r="E278" s="112">
        <v>1728</v>
      </c>
      <c r="F278" s="113">
        <v>281651</v>
      </c>
      <c r="G278" s="114">
        <v>35.07</v>
      </c>
      <c r="H278" s="114">
        <v>35.07</v>
      </c>
      <c r="I278" s="115" t="s">
        <v>42</v>
      </c>
      <c r="J278" s="115"/>
      <c r="K278" s="115" t="s">
        <v>16</v>
      </c>
      <c r="L278" s="115" t="s">
        <v>378</v>
      </c>
      <c r="M278" s="114">
        <v>9877500</v>
      </c>
      <c r="N278" s="114">
        <v>9877500</v>
      </c>
      <c r="O278" s="114">
        <v>9877500</v>
      </c>
      <c r="P278" s="114">
        <v>9525358.4000000004</v>
      </c>
      <c r="Q278" s="112" t="s">
        <v>444</v>
      </c>
    </row>
    <row r="279" spans="1:17" ht="16.95" customHeight="1">
      <c r="A279" s="111">
        <v>275</v>
      </c>
      <c r="B279" s="112">
        <v>3502</v>
      </c>
      <c r="C279" s="112" t="s">
        <v>325</v>
      </c>
      <c r="D279" s="112" t="s">
        <v>243</v>
      </c>
      <c r="E279" s="112">
        <v>1728</v>
      </c>
      <c r="F279" s="113">
        <v>321157.68</v>
      </c>
      <c r="G279" s="114">
        <v>50</v>
      </c>
      <c r="H279" s="114">
        <v>50.1</v>
      </c>
      <c r="I279" s="115" t="s">
        <v>19</v>
      </c>
      <c r="J279" s="115" t="s">
        <v>533</v>
      </c>
      <c r="K279" s="115" t="s">
        <v>16</v>
      </c>
      <c r="L279" s="115" t="s">
        <v>378</v>
      </c>
      <c r="M279" s="114">
        <v>0</v>
      </c>
      <c r="N279" s="114">
        <v>16090000</v>
      </c>
      <c r="O279" s="114">
        <v>16090000</v>
      </c>
      <c r="P279" s="114">
        <v>0</v>
      </c>
    </row>
    <row r="280" spans="1:17" ht="16.95" customHeight="1">
      <c r="A280" s="111">
        <v>276</v>
      </c>
      <c r="B280" s="112">
        <v>3503</v>
      </c>
      <c r="C280" s="112" t="s">
        <v>326</v>
      </c>
      <c r="D280" s="112" t="s">
        <v>245</v>
      </c>
      <c r="E280" s="112">
        <v>1728</v>
      </c>
      <c r="F280" s="113">
        <v>339539.98</v>
      </c>
      <c r="G280" s="114">
        <v>73</v>
      </c>
      <c r="H280" s="114">
        <v>73.040000000000006</v>
      </c>
      <c r="I280" s="115" t="s">
        <v>19</v>
      </c>
      <c r="J280" s="115" t="s">
        <v>533</v>
      </c>
      <c r="K280" s="115" t="s">
        <v>16</v>
      </c>
      <c r="L280" s="115" t="s">
        <v>378</v>
      </c>
      <c r="M280" s="114">
        <v>0</v>
      </c>
      <c r="N280" s="114">
        <v>24800000</v>
      </c>
      <c r="O280" s="114">
        <v>24800000</v>
      </c>
      <c r="P280" s="114">
        <v>0</v>
      </c>
    </row>
    <row r="281" spans="1:17" ht="17.7" customHeight="1">
      <c r="A281" s="111">
        <v>277</v>
      </c>
      <c r="B281" s="112">
        <v>3504</v>
      </c>
      <c r="C281" s="112" t="s">
        <v>327</v>
      </c>
      <c r="D281" s="112" t="s">
        <v>247</v>
      </c>
      <c r="E281" s="112">
        <v>1728</v>
      </c>
      <c r="F281" s="113">
        <v>327944.11</v>
      </c>
      <c r="G281" s="114">
        <v>50</v>
      </c>
      <c r="H281" s="114">
        <v>50.1</v>
      </c>
      <c r="I281" s="115" t="s">
        <v>19</v>
      </c>
      <c r="J281" s="115" t="s">
        <v>533</v>
      </c>
      <c r="K281" s="115" t="s">
        <v>16</v>
      </c>
      <c r="L281" s="115" t="s">
        <v>378</v>
      </c>
      <c r="M281" s="114">
        <v>0</v>
      </c>
      <c r="N281" s="114">
        <v>16430000</v>
      </c>
      <c r="O281" s="114">
        <v>16430000</v>
      </c>
      <c r="P281" s="114">
        <v>0</v>
      </c>
    </row>
    <row r="282" spans="1:17" ht="17.7" customHeight="1">
      <c r="A282" s="111">
        <v>278</v>
      </c>
      <c r="B282" s="112">
        <v>3505</v>
      </c>
      <c r="C282" s="112" t="s">
        <v>328</v>
      </c>
      <c r="D282" s="112" t="s">
        <v>249</v>
      </c>
      <c r="E282" s="112">
        <v>1728</v>
      </c>
      <c r="F282" s="113">
        <v>281745</v>
      </c>
      <c r="G282" s="114">
        <v>35.99</v>
      </c>
      <c r="H282" s="114">
        <v>35.99</v>
      </c>
      <c r="I282" s="115" t="s">
        <v>42</v>
      </c>
      <c r="J282" s="115"/>
      <c r="K282" s="115" t="s">
        <v>16</v>
      </c>
      <c r="L282" s="115" t="s">
        <v>378</v>
      </c>
      <c r="M282" s="114">
        <v>10140000</v>
      </c>
      <c r="N282" s="114">
        <v>10140000</v>
      </c>
      <c r="O282" s="114">
        <v>10140000</v>
      </c>
      <c r="P282" s="114">
        <v>9783898.8000000007</v>
      </c>
      <c r="Q282" s="112" t="s">
        <v>523</v>
      </c>
    </row>
    <row r="283" spans="1:17" ht="16.95" customHeight="1">
      <c r="A283" s="111">
        <v>279</v>
      </c>
      <c r="B283" s="112">
        <v>3506</v>
      </c>
      <c r="C283" s="112" t="s">
        <v>329</v>
      </c>
      <c r="D283" s="112" t="s">
        <v>251</v>
      </c>
      <c r="E283" s="112">
        <v>1728</v>
      </c>
      <c r="F283" s="113">
        <v>283000</v>
      </c>
      <c r="G283" s="114">
        <v>69</v>
      </c>
      <c r="H283" s="114">
        <v>69</v>
      </c>
      <c r="I283" s="115" t="s">
        <v>42</v>
      </c>
      <c r="J283" s="115"/>
      <c r="K283" s="115" t="s">
        <v>16</v>
      </c>
      <c r="L283" s="115" t="s">
        <v>378</v>
      </c>
      <c r="M283" s="114">
        <v>19527000</v>
      </c>
      <c r="N283" s="114">
        <v>19527000</v>
      </c>
      <c r="O283" s="114">
        <v>19527000</v>
      </c>
      <c r="P283" s="114">
        <v>19228824</v>
      </c>
      <c r="Q283" s="112" t="s">
        <v>424</v>
      </c>
    </row>
    <row r="284" spans="1:17" ht="17.7" customHeight="1">
      <c r="A284" s="111">
        <v>280</v>
      </c>
      <c r="B284" s="112">
        <v>3601</v>
      </c>
      <c r="C284" s="112" t="s">
        <v>330</v>
      </c>
      <c r="D284" s="112" t="s">
        <v>241</v>
      </c>
      <c r="E284" s="112">
        <v>1728</v>
      </c>
      <c r="F284" s="113">
        <v>282293</v>
      </c>
      <c r="G284" s="114">
        <v>35.07</v>
      </c>
      <c r="H284" s="114">
        <v>35.07</v>
      </c>
      <c r="I284" s="115" t="s">
        <v>42</v>
      </c>
      <c r="J284" s="115"/>
      <c r="K284" s="115" t="s">
        <v>16</v>
      </c>
      <c r="L284" s="115" t="s">
        <v>378</v>
      </c>
      <c r="M284" s="114">
        <v>9900000</v>
      </c>
      <c r="N284" s="114">
        <v>9900000</v>
      </c>
      <c r="O284" s="114">
        <v>9900000</v>
      </c>
      <c r="P284" s="114">
        <v>9547402.4000000004</v>
      </c>
      <c r="Q284" s="112" t="s">
        <v>443</v>
      </c>
    </row>
    <row r="285" spans="1:17" ht="16.95" customHeight="1">
      <c r="A285" s="111">
        <v>281</v>
      </c>
      <c r="B285" s="112">
        <v>3602</v>
      </c>
      <c r="C285" s="112" t="s">
        <v>331</v>
      </c>
      <c r="D285" s="112" t="s">
        <v>243</v>
      </c>
      <c r="E285" s="112">
        <v>1728</v>
      </c>
      <c r="F285" s="113">
        <v>340119.76</v>
      </c>
      <c r="G285" s="114">
        <v>50</v>
      </c>
      <c r="H285" s="114">
        <v>50.1</v>
      </c>
      <c r="I285" s="115" t="s">
        <v>19</v>
      </c>
      <c r="J285" s="115" t="s">
        <v>529</v>
      </c>
      <c r="K285" s="115" t="s">
        <v>16</v>
      </c>
      <c r="L285" s="115" t="s">
        <v>378</v>
      </c>
      <c r="M285" s="114">
        <v>0</v>
      </c>
      <c r="N285" s="114">
        <v>17040000</v>
      </c>
      <c r="O285" s="114">
        <v>17040000</v>
      </c>
      <c r="P285" s="114">
        <v>0</v>
      </c>
    </row>
    <row r="286" spans="1:17" ht="17.7" customHeight="1">
      <c r="A286" s="111">
        <v>282</v>
      </c>
      <c r="B286" s="112">
        <v>3603</v>
      </c>
      <c r="C286" s="112" t="s">
        <v>332</v>
      </c>
      <c r="D286" s="112" t="s">
        <v>245</v>
      </c>
      <c r="E286" s="112">
        <v>1728</v>
      </c>
      <c r="F286" s="113">
        <v>258507</v>
      </c>
      <c r="G286" s="114">
        <v>73.040000000000006</v>
      </c>
      <c r="H286" s="114">
        <v>73.040000000000006</v>
      </c>
      <c r="I286" s="115" t="s">
        <v>42</v>
      </c>
      <c r="J286" s="115"/>
      <c r="K286" s="115" t="s">
        <v>16</v>
      </c>
      <c r="L286" s="115" t="s">
        <v>378</v>
      </c>
      <c r="M286" s="114">
        <v>18871000</v>
      </c>
      <c r="N286" s="114">
        <v>19760000</v>
      </c>
      <c r="O286" s="114">
        <v>18881341</v>
      </c>
      <c r="P286" s="114">
        <v>18564826</v>
      </c>
      <c r="Q286" s="112" t="s">
        <v>524</v>
      </c>
    </row>
    <row r="287" spans="1:17" ht="17.7" customHeight="1">
      <c r="A287" s="111">
        <v>283</v>
      </c>
      <c r="B287" s="112">
        <v>3604</v>
      </c>
      <c r="C287" s="112" t="s">
        <v>333</v>
      </c>
      <c r="D287" s="112" t="s">
        <v>247</v>
      </c>
      <c r="E287" s="112">
        <v>1728</v>
      </c>
      <c r="F287" s="113">
        <v>328942.12</v>
      </c>
      <c r="G287" s="114">
        <v>50</v>
      </c>
      <c r="H287" s="114">
        <v>50.1</v>
      </c>
      <c r="I287" s="115" t="s">
        <v>19</v>
      </c>
      <c r="J287" s="115" t="s">
        <v>529</v>
      </c>
      <c r="K287" s="115" t="s">
        <v>16</v>
      </c>
      <c r="L287" s="115" t="s">
        <v>378</v>
      </c>
      <c r="M287" s="114">
        <v>0</v>
      </c>
      <c r="N287" s="114">
        <v>16480000</v>
      </c>
      <c r="O287" s="114">
        <v>16480000</v>
      </c>
      <c r="P287" s="114">
        <v>0</v>
      </c>
    </row>
    <row r="288" spans="1:17" ht="16.95" customHeight="1">
      <c r="A288" s="111">
        <v>284</v>
      </c>
      <c r="B288" s="112">
        <v>3605</v>
      </c>
      <c r="C288" s="112" t="s">
        <v>334</v>
      </c>
      <c r="D288" s="112" t="s">
        <v>249</v>
      </c>
      <c r="E288" s="112">
        <v>1728</v>
      </c>
      <c r="F288" s="113">
        <v>282370</v>
      </c>
      <c r="G288" s="114">
        <v>35.99</v>
      </c>
      <c r="H288" s="114">
        <v>35.99</v>
      </c>
      <c r="I288" s="115" t="s">
        <v>42</v>
      </c>
      <c r="J288" s="115"/>
      <c r="K288" s="115" t="s">
        <v>16</v>
      </c>
      <c r="L288" s="115" t="s">
        <v>378</v>
      </c>
      <c r="M288" s="114">
        <v>10162500</v>
      </c>
      <c r="N288" s="114">
        <v>10162500</v>
      </c>
      <c r="O288" s="114">
        <v>10162500</v>
      </c>
      <c r="P288" s="114">
        <v>9805930.8000000007</v>
      </c>
      <c r="Q288" s="112" t="s">
        <v>443</v>
      </c>
    </row>
    <row r="289" spans="1:17" ht="17.7" customHeight="1">
      <c r="A289" s="111">
        <v>285</v>
      </c>
      <c r="B289" s="112">
        <v>3606</v>
      </c>
      <c r="C289" s="112" t="s">
        <v>335</v>
      </c>
      <c r="D289" s="112" t="s">
        <v>251</v>
      </c>
      <c r="E289" s="112">
        <v>1728</v>
      </c>
      <c r="F289" s="113">
        <v>266435</v>
      </c>
      <c r="G289" s="114">
        <v>69</v>
      </c>
      <c r="H289" s="114">
        <v>69</v>
      </c>
      <c r="I289" s="115" t="s">
        <v>42</v>
      </c>
      <c r="J289" s="115"/>
      <c r="K289" s="115" t="s">
        <v>16</v>
      </c>
      <c r="L289" s="115" t="s">
        <v>378</v>
      </c>
      <c r="M289" s="114">
        <v>18322000</v>
      </c>
      <c r="N289" s="114">
        <v>19250000</v>
      </c>
      <c r="O289" s="114">
        <v>18322000</v>
      </c>
      <c r="P289" s="114">
        <v>18022927</v>
      </c>
      <c r="Q289" s="112" t="s">
        <v>525</v>
      </c>
    </row>
    <row r="290" spans="1:17" ht="17.7" customHeight="1">
      <c r="A290" s="111">
        <v>286</v>
      </c>
      <c r="B290" s="112">
        <v>3701</v>
      </c>
      <c r="C290" s="112" t="s">
        <v>336</v>
      </c>
      <c r="D290" s="112" t="s">
        <v>241</v>
      </c>
      <c r="E290" s="112">
        <v>1728</v>
      </c>
      <c r="F290" s="113">
        <v>283362</v>
      </c>
      <c r="G290" s="114">
        <v>35.07</v>
      </c>
      <c r="H290" s="114">
        <v>35.07</v>
      </c>
      <c r="I290" s="115" t="s">
        <v>42</v>
      </c>
      <c r="J290" s="115"/>
      <c r="K290" s="115" t="s">
        <v>16</v>
      </c>
      <c r="L290" s="115" t="s">
        <v>378</v>
      </c>
      <c r="M290" s="114">
        <v>9937500</v>
      </c>
      <c r="N290" s="114">
        <v>9937500</v>
      </c>
      <c r="O290" s="114">
        <v>9937500</v>
      </c>
      <c r="P290" s="114">
        <v>9584446.4000000004</v>
      </c>
      <c r="Q290" s="112" t="s">
        <v>479</v>
      </c>
    </row>
    <row r="291" spans="1:17" ht="16.95" customHeight="1">
      <c r="A291" s="111">
        <v>287</v>
      </c>
      <c r="B291" s="112">
        <v>3702</v>
      </c>
      <c r="C291" s="112" t="s">
        <v>337</v>
      </c>
      <c r="D291" s="112" t="s">
        <v>243</v>
      </c>
      <c r="E291" s="112">
        <v>1728</v>
      </c>
      <c r="F291" s="113">
        <v>323552.89</v>
      </c>
      <c r="G291" s="114">
        <v>50</v>
      </c>
      <c r="H291" s="114">
        <v>50.1</v>
      </c>
      <c r="I291" s="115" t="s">
        <v>19</v>
      </c>
      <c r="J291" s="115" t="s">
        <v>531</v>
      </c>
      <c r="K291" s="115" t="s">
        <v>16</v>
      </c>
      <c r="L291" s="115" t="s">
        <v>378</v>
      </c>
      <c r="M291" s="114">
        <v>0</v>
      </c>
      <c r="N291" s="114">
        <v>16210000</v>
      </c>
      <c r="O291" s="114">
        <v>16210000</v>
      </c>
      <c r="P291" s="114">
        <v>0</v>
      </c>
    </row>
    <row r="292" spans="1:17" ht="17.7" customHeight="1">
      <c r="A292" s="111">
        <v>288</v>
      </c>
      <c r="B292" s="112">
        <v>3703</v>
      </c>
      <c r="C292" s="112" t="s">
        <v>338</v>
      </c>
      <c r="D292" s="112" t="s">
        <v>245</v>
      </c>
      <c r="E292" s="112">
        <v>1728</v>
      </c>
      <c r="F292" s="113">
        <v>326259.58</v>
      </c>
      <c r="G292" s="114">
        <v>73</v>
      </c>
      <c r="H292" s="114">
        <v>73.040000000000006</v>
      </c>
      <c r="I292" s="115" t="s">
        <v>19</v>
      </c>
      <c r="J292" s="115" t="s">
        <v>531</v>
      </c>
      <c r="K292" s="115" t="s">
        <v>16</v>
      </c>
      <c r="L292" s="115" t="s">
        <v>378</v>
      </c>
      <c r="M292" s="114">
        <v>0</v>
      </c>
      <c r="N292" s="114">
        <v>23830000</v>
      </c>
      <c r="O292" s="114">
        <v>23830000</v>
      </c>
      <c r="P292" s="114">
        <v>0</v>
      </c>
    </row>
    <row r="293" spans="1:17" ht="16.95" customHeight="1">
      <c r="A293" s="111">
        <v>289</v>
      </c>
      <c r="B293" s="112">
        <v>3704</v>
      </c>
      <c r="C293" s="112" t="s">
        <v>339</v>
      </c>
      <c r="D293" s="112" t="s">
        <v>247</v>
      </c>
      <c r="E293" s="112">
        <v>1728</v>
      </c>
      <c r="F293" s="113">
        <v>330139.71999999997</v>
      </c>
      <c r="G293" s="114">
        <v>50</v>
      </c>
      <c r="H293" s="114">
        <v>50.1</v>
      </c>
      <c r="I293" s="115" t="s">
        <v>19</v>
      </c>
      <c r="J293" s="115" t="s">
        <v>531</v>
      </c>
      <c r="K293" s="115" t="s">
        <v>16</v>
      </c>
      <c r="L293" s="115" t="s">
        <v>378</v>
      </c>
      <c r="M293" s="114">
        <v>0</v>
      </c>
      <c r="N293" s="114">
        <v>16540000</v>
      </c>
      <c r="O293" s="114">
        <v>16540000</v>
      </c>
      <c r="P293" s="114">
        <v>0</v>
      </c>
    </row>
    <row r="294" spans="1:17" ht="17.7" customHeight="1">
      <c r="A294" s="111">
        <v>290</v>
      </c>
      <c r="B294" s="112">
        <v>3705</v>
      </c>
      <c r="C294" s="112" t="s">
        <v>340</v>
      </c>
      <c r="D294" s="112" t="s">
        <v>249</v>
      </c>
      <c r="E294" s="112">
        <v>1728</v>
      </c>
      <c r="F294" s="113">
        <v>283412</v>
      </c>
      <c r="G294" s="114">
        <v>35.99</v>
      </c>
      <c r="H294" s="114">
        <v>35.99</v>
      </c>
      <c r="I294" s="115" t="s">
        <v>42</v>
      </c>
      <c r="J294" s="115"/>
      <c r="K294" s="115" t="s">
        <v>16</v>
      </c>
      <c r="L294" s="115" t="s">
        <v>378</v>
      </c>
      <c r="M294" s="114">
        <v>10200000</v>
      </c>
      <c r="N294" s="114">
        <v>10200000</v>
      </c>
      <c r="O294" s="114">
        <v>10200000</v>
      </c>
      <c r="P294" s="114">
        <v>9842962.8000000007</v>
      </c>
      <c r="Q294" s="112" t="s">
        <v>479</v>
      </c>
    </row>
    <row r="295" spans="1:17" ht="17.7" customHeight="1">
      <c r="A295" s="111">
        <v>291</v>
      </c>
      <c r="B295" s="112">
        <v>3706</v>
      </c>
      <c r="C295" s="112" t="s">
        <v>341</v>
      </c>
      <c r="D295" s="112" t="s">
        <v>251</v>
      </c>
      <c r="E295" s="112">
        <v>1728</v>
      </c>
      <c r="F295" s="113">
        <v>336086.96</v>
      </c>
      <c r="G295" s="114">
        <v>69</v>
      </c>
      <c r="H295" s="114">
        <v>69</v>
      </c>
      <c r="I295" s="115" t="s">
        <v>19</v>
      </c>
      <c r="J295" s="115" t="s">
        <v>529</v>
      </c>
      <c r="K295" s="115" t="s">
        <v>16</v>
      </c>
      <c r="L295" s="115" t="s">
        <v>378</v>
      </c>
      <c r="M295" s="114">
        <v>0</v>
      </c>
      <c r="N295" s="114">
        <v>23190000</v>
      </c>
      <c r="O295" s="114">
        <v>23190000</v>
      </c>
      <c r="P295" s="114">
        <v>0</v>
      </c>
    </row>
    <row r="296" spans="1:17" ht="16.95" customHeight="1">
      <c r="A296" s="111">
        <v>292</v>
      </c>
      <c r="B296" s="112">
        <v>3801</v>
      </c>
      <c r="C296" s="112" t="s">
        <v>342</v>
      </c>
      <c r="D296" s="112" t="s">
        <v>343</v>
      </c>
      <c r="E296" s="112">
        <v>1728</v>
      </c>
      <c r="F296" s="113">
        <v>264522</v>
      </c>
      <c r="G296" s="114">
        <v>189.02</v>
      </c>
      <c r="H296" s="114">
        <v>189.02</v>
      </c>
      <c r="I296" s="115" t="s">
        <v>42</v>
      </c>
      <c r="J296" s="115"/>
      <c r="K296" s="115" t="s">
        <v>16</v>
      </c>
      <c r="L296" s="115" t="s">
        <v>378</v>
      </c>
      <c r="M296" s="114">
        <v>50000000</v>
      </c>
      <c r="N296" s="114">
        <v>50000000</v>
      </c>
      <c r="O296" s="114">
        <v>50000000</v>
      </c>
      <c r="P296" s="114">
        <v>49175195.399999999</v>
      </c>
      <c r="Q296" s="112" t="s">
        <v>526</v>
      </c>
    </row>
    <row r="297" spans="1:17" ht="17.7" customHeight="1">
      <c r="A297" s="111">
        <v>293</v>
      </c>
      <c r="B297" s="112">
        <v>3802</v>
      </c>
      <c r="C297" s="112" t="s">
        <v>344</v>
      </c>
      <c r="D297" s="112" t="s">
        <v>343</v>
      </c>
      <c r="E297" s="112">
        <v>1728</v>
      </c>
      <c r="F297" s="113">
        <v>422867.81</v>
      </c>
      <c r="G297" s="114">
        <v>177</v>
      </c>
      <c r="H297" s="114">
        <v>182.09</v>
      </c>
      <c r="I297" s="115" t="s">
        <v>19</v>
      </c>
      <c r="J297" s="115" t="s">
        <v>531</v>
      </c>
      <c r="K297" s="115" t="s">
        <v>16</v>
      </c>
      <c r="L297" s="115" t="s">
        <v>378</v>
      </c>
      <c r="M297" s="114">
        <v>0</v>
      </c>
      <c r="N297" s="114">
        <v>77000000</v>
      </c>
      <c r="O297" s="114">
        <v>77000000</v>
      </c>
      <c r="P297" s="114">
        <v>0</v>
      </c>
    </row>
    <row r="298" spans="1:17" ht="17.7" customHeight="1">
      <c r="A298" s="116">
        <v>294</v>
      </c>
      <c r="B298" s="117">
        <v>3803</v>
      </c>
      <c r="C298" s="117" t="s">
        <v>345</v>
      </c>
      <c r="D298" s="117" t="s">
        <v>346</v>
      </c>
      <c r="E298" s="117">
        <v>1728</v>
      </c>
      <c r="F298" s="118">
        <v>257101</v>
      </c>
      <c r="G298" s="119">
        <v>69</v>
      </c>
      <c r="H298" s="119">
        <v>69</v>
      </c>
      <c r="I298" s="120" t="s">
        <v>42</v>
      </c>
      <c r="J298" s="120"/>
      <c r="K298" s="120" t="s">
        <v>16</v>
      </c>
      <c r="L298" s="120" t="s">
        <v>378</v>
      </c>
      <c r="M298" s="119">
        <v>17740000</v>
      </c>
      <c r="N298" s="119">
        <v>17740000</v>
      </c>
      <c r="O298" s="119">
        <v>17740000</v>
      </c>
      <c r="P298" s="119">
        <v>17437643</v>
      </c>
      <c r="Q298" s="117" t="s">
        <v>527</v>
      </c>
    </row>
    <row r="299" spans="1:17" ht="16.95" customHeight="1">
      <c r="A299" s="121" t="s">
        <v>347</v>
      </c>
      <c r="B299" s="121"/>
      <c r="C299" s="121"/>
      <c r="D299" s="121"/>
      <c r="E299" s="121"/>
      <c r="F299" s="122">
        <v>12163.79</v>
      </c>
      <c r="G299" s="122"/>
      <c r="H299" s="123"/>
      <c r="I299" s="123"/>
      <c r="J299" s="123"/>
      <c r="K299" s="122"/>
      <c r="L299" s="122"/>
      <c r="M299" s="124">
        <v>2181898543</v>
      </c>
      <c r="N299" s="125">
        <v>3806786380</v>
      </c>
      <c r="O299" s="125">
        <v>3775038919</v>
      </c>
      <c r="P299" s="125">
        <v>2188605338.1999998</v>
      </c>
      <c r="Q299" s="123"/>
    </row>
    <row r="300" spans="1:17" ht="17.7" customHeight="1">
      <c r="A300" s="126"/>
      <c r="B300" s="126"/>
      <c r="C300" s="126"/>
      <c r="D300" s="126"/>
      <c r="E300" s="126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126"/>
    </row>
    <row r="301" spans="1:17" ht="73.5" customHeight="1"/>
    <row r="302" spans="1:17" ht="73.5" customHeight="1"/>
    <row r="303" spans="1:17" ht="73.5" customHeight="1"/>
    <row r="304" spans="1:17" ht="46.35" customHeight="1"/>
    <row r="305" spans="1:17" ht="47.1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</row>
  </sheetData>
  <autoFilter ref="A4:Q299"/>
  <pageMargins left="0.39370078740157499" right="0.43307086614173201" top="0.39370078740157499" bottom="0.39370078740157499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"/>
  <sheetViews>
    <sheetView showGridLines="0" tabSelected="1" zoomScale="55" zoomScaleNormal="55" workbookViewId="0">
      <pane xSplit="2" ySplit="3" topLeftCell="C143" activePane="bottomRight" state="frozen"/>
      <selection pane="topRight" activeCell="C1" sqref="C1"/>
      <selection pane="bottomLeft" activeCell="A4" sqref="A4"/>
      <selection pane="bottomRight" activeCell="T120" sqref="T120:T124"/>
    </sheetView>
  </sheetViews>
  <sheetFormatPr defaultColWidth="10" defaultRowHeight="20.399999999999999"/>
  <cols>
    <col min="1" max="1" width="8.44140625" style="1" customWidth="1"/>
    <col min="2" max="2" width="8.88671875" style="2" customWidth="1"/>
    <col min="3" max="5" width="13.5546875" style="3" customWidth="1"/>
    <col min="6" max="14" width="13.44140625" style="3" bestFit="1" customWidth="1"/>
    <col min="15" max="15" width="15.77734375" style="3" customWidth="1"/>
    <col min="16" max="16" width="13.44140625" style="3" bestFit="1" customWidth="1"/>
    <col min="17" max="17" width="16" style="1" bestFit="1" customWidth="1"/>
    <col min="18" max="18" width="18.109375" style="1" bestFit="1" customWidth="1"/>
    <col min="19" max="20" width="16" style="1" bestFit="1" customWidth="1"/>
    <col min="21" max="21" width="2.77734375" style="1" customWidth="1"/>
    <col min="22" max="16384" width="10" style="1"/>
  </cols>
  <sheetData>
    <row r="1" spans="1:21" ht="39" customHeight="1">
      <c r="P1" s="4">
        <v>294</v>
      </c>
      <c r="Q1" s="86">
        <f>SUBTOTAL(9,Q4:Q174)</f>
        <v>76</v>
      </c>
      <c r="R1" s="87">
        <f>SUBTOTAL(9,R4:R174)</f>
        <v>0</v>
      </c>
      <c r="S1" s="88">
        <f>SUBTOTAL(9,S4:S174)</f>
        <v>187</v>
      </c>
      <c r="T1" s="89">
        <f>SUBTOTAL(9,T4:T174)</f>
        <v>31</v>
      </c>
      <c r="U1" s="89"/>
    </row>
    <row r="2" spans="1:21" ht="39" customHeight="1" thickBot="1">
      <c r="Q2" s="90">
        <f>Q1/P1</f>
        <v>0.25850340136054423</v>
      </c>
      <c r="R2" s="91">
        <f>R1/P1</f>
        <v>0</v>
      </c>
      <c r="S2" s="92">
        <f>S1/P1</f>
        <v>0.63605442176870752</v>
      </c>
      <c r="T2" s="93">
        <f>T1/P1</f>
        <v>0.10544217687074831</v>
      </c>
      <c r="U2" s="93"/>
    </row>
    <row r="3" spans="1:21" s="9" customFormat="1" ht="32.25" customHeight="1" thickBot="1">
      <c r="A3" s="5"/>
      <c r="B3" s="6" t="s">
        <v>348</v>
      </c>
      <c r="C3" s="7" t="s">
        <v>349</v>
      </c>
      <c r="D3" s="8" t="s">
        <v>350</v>
      </c>
      <c r="E3" s="8" t="s">
        <v>351</v>
      </c>
      <c r="F3" s="8" t="s">
        <v>352</v>
      </c>
      <c r="G3" s="8" t="s">
        <v>353</v>
      </c>
      <c r="H3" s="8" t="s">
        <v>354</v>
      </c>
      <c r="I3" s="8" t="s">
        <v>355</v>
      </c>
      <c r="J3" s="8" t="s">
        <v>356</v>
      </c>
      <c r="K3" s="8" t="s">
        <v>357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74" t="s">
        <v>19</v>
      </c>
      <c r="R3" s="75" t="s">
        <v>384</v>
      </c>
      <c r="S3" s="76" t="s">
        <v>42</v>
      </c>
      <c r="T3" s="77" t="s">
        <v>528</v>
      </c>
      <c r="U3" s="77"/>
    </row>
    <row r="4" spans="1:21" s="13" customFormat="1" ht="20.25" customHeight="1">
      <c r="A4" s="128" t="s">
        <v>358</v>
      </c>
      <c r="B4" s="131">
        <v>38</v>
      </c>
      <c r="C4" s="10">
        <v>3801</v>
      </c>
      <c r="D4" s="11">
        <v>3802</v>
      </c>
      <c r="E4" s="12">
        <v>3803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34"/>
      <c r="Q4" s="136">
        <f>COUNTIF(C8:P8,"ห้องว่าง")</f>
        <v>1</v>
      </c>
      <c r="R4" s="138">
        <f>COUNTIFS(C8:P8,"จอง")</f>
        <v>0</v>
      </c>
      <c r="S4" s="140">
        <f>COUNTIFS(C8:P8,"โอน")</f>
        <v>2</v>
      </c>
      <c r="T4" s="140">
        <f>COUNTIFS(C8:Q8,"ห้องเช่า")</f>
        <v>0</v>
      </c>
      <c r="U4" s="73"/>
    </row>
    <row r="5" spans="1:21" s="13" customFormat="1" ht="20.25" customHeight="1">
      <c r="A5" s="129"/>
      <c r="B5" s="132"/>
      <c r="C5" s="14" t="s">
        <v>359</v>
      </c>
      <c r="D5" s="15" t="s">
        <v>359</v>
      </c>
      <c r="E5" s="16" t="s">
        <v>360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35"/>
      <c r="Q5" s="137"/>
      <c r="R5" s="139"/>
      <c r="S5" s="141"/>
      <c r="T5" s="141"/>
      <c r="U5" s="68"/>
    </row>
    <row r="6" spans="1:21" s="13" customFormat="1" ht="20.25" customHeight="1">
      <c r="A6" s="129"/>
      <c r="B6" s="132"/>
      <c r="C6" s="14">
        <v>177</v>
      </c>
      <c r="D6" s="15">
        <v>177</v>
      </c>
      <c r="E6" s="16">
        <v>69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7"/>
      <c r="Q6" s="137"/>
      <c r="R6" s="139"/>
      <c r="S6" s="141"/>
      <c r="T6" s="141"/>
      <c r="U6" s="68"/>
    </row>
    <row r="7" spans="1:21" s="13" customFormat="1" ht="20.25" customHeight="1">
      <c r="A7" s="129"/>
      <c r="B7" s="132"/>
      <c r="C7" s="14"/>
      <c r="D7" s="15" t="s">
        <v>531</v>
      </c>
      <c r="E7" s="16"/>
      <c r="F7" s="15"/>
      <c r="G7" s="15"/>
      <c r="H7" s="15"/>
      <c r="I7" s="15"/>
      <c r="J7" s="15"/>
      <c r="K7" s="15"/>
      <c r="L7" s="15"/>
      <c r="M7" s="15"/>
      <c r="N7" s="15"/>
      <c r="O7" s="15"/>
      <c r="P7" s="17"/>
      <c r="Q7" s="137"/>
      <c r="R7" s="139"/>
      <c r="S7" s="141"/>
      <c r="T7" s="141"/>
      <c r="U7" s="127"/>
    </row>
    <row r="8" spans="1:21" s="23" customFormat="1" ht="20.25" customHeight="1">
      <c r="A8" s="130"/>
      <c r="B8" s="133"/>
      <c r="C8" s="18" t="s">
        <v>42</v>
      </c>
      <c r="D8" s="19" t="s">
        <v>19</v>
      </c>
      <c r="E8" s="20" t="s">
        <v>42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2"/>
      <c r="Q8" s="137"/>
      <c r="R8" s="139"/>
      <c r="S8" s="141"/>
      <c r="T8" s="141"/>
      <c r="U8" s="68"/>
    </row>
    <row r="9" spans="1:21" s="13" customFormat="1" ht="20.25" customHeight="1">
      <c r="A9" s="142" t="s">
        <v>358</v>
      </c>
      <c r="B9" s="143">
        <v>37</v>
      </c>
      <c r="C9" s="24">
        <v>3701</v>
      </c>
      <c r="D9" s="25">
        <v>3702</v>
      </c>
      <c r="E9" s="25">
        <v>3703</v>
      </c>
      <c r="F9" s="25">
        <v>3704</v>
      </c>
      <c r="G9" s="26">
        <v>3705</v>
      </c>
      <c r="H9" s="25">
        <v>3706</v>
      </c>
      <c r="I9" s="25"/>
      <c r="J9" s="25"/>
      <c r="K9" s="25"/>
      <c r="L9" s="25"/>
      <c r="M9" s="25"/>
      <c r="N9" s="25"/>
      <c r="O9" s="25"/>
      <c r="P9" s="27"/>
      <c r="Q9" s="144">
        <f>COUNTIF(C13:P13,"ห้องว่าง")</f>
        <v>4</v>
      </c>
      <c r="R9" s="138">
        <f t="shared" ref="R9" si="0">COUNTIFS(C13:P13,"จอง")</f>
        <v>0</v>
      </c>
      <c r="S9" s="145">
        <f>COUNTIFS(C13:P13,"โอน")</f>
        <v>2</v>
      </c>
      <c r="T9" s="140">
        <f t="shared" ref="T9" si="1">COUNTIFS(C13:Q13,"ห้องเช่า")</f>
        <v>0</v>
      </c>
      <c r="U9" s="67"/>
    </row>
    <row r="10" spans="1:21" s="13" customFormat="1" ht="20.25" customHeight="1">
      <c r="A10" s="129"/>
      <c r="B10" s="132"/>
      <c r="C10" s="14" t="s">
        <v>241</v>
      </c>
      <c r="D10" s="15" t="s">
        <v>243</v>
      </c>
      <c r="E10" s="15" t="s">
        <v>245</v>
      </c>
      <c r="F10" s="15" t="s">
        <v>247</v>
      </c>
      <c r="G10" s="16" t="s">
        <v>249</v>
      </c>
      <c r="H10" s="15" t="s">
        <v>251</v>
      </c>
      <c r="I10" s="15"/>
      <c r="J10" s="15"/>
      <c r="K10" s="15"/>
      <c r="L10" s="15"/>
      <c r="M10" s="15"/>
      <c r="N10" s="15"/>
      <c r="O10" s="15"/>
      <c r="P10" s="17"/>
      <c r="Q10" s="137"/>
      <c r="R10" s="139"/>
      <c r="S10" s="141"/>
      <c r="T10" s="141"/>
      <c r="U10" s="68"/>
    </row>
    <row r="11" spans="1:21" s="13" customFormat="1" ht="20.25" customHeight="1">
      <c r="A11" s="129"/>
      <c r="B11" s="132"/>
      <c r="C11" s="14">
        <v>34.9</v>
      </c>
      <c r="D11" s="15">
        <v>50</v>
      </c>
      <c r="E11" s="15">
        <v>73</v>
      </c>
      <c r="F11" s="15">
        <v>50</v>
      </c>
      <c r="G11" s="16">
        <v>35.4</v>
      </c>
      <c r="H11" s="15">
        <v>69</v>
      </c>
      <c r="I11" s="15"/>
      <c r="J11" s="15"/>
      <c r="K11" s="15"/>
      <c r="L11" s="15"/>
      <c r="M11" s="15"/>
      <c r="N11" s="15"/>
      <c r="O11" s="15"/>
      <c r="P11" s="17"/>
      <c r="Q11" s="137"/>
      <c r="R11" s="139"/>
      <c r="S11" s="141"/>
      <c r="T11" s="141"/>
      <c r="U11" s="68"/>
    </row>
    <row r="12" spans="1:21" s="13" customFormat="1" ht="20.25" customHeight="1">
      <c r="A12" s="129"/>
      <c r="B12" s="132"/>
      <c r="C12" s="14"/>
      <c r="D12" s="15" t="s">
        <v>531</v>
      </c>
      <c r="E12" s="15" t="s">
        <v>531</v>
      </c>
      <c r="F12" s="15" t="s">
        <v>531</v>
      </c>
      <c r="G12" s="16"/>
      <c r="H12" s="15" t="s">
        <v>529</v>
      </c>
      <c r="I12" s="15"/>
      <c r="J12" s="15"/>
      <c r="K12" s="15"/>
      <c r="L12" s="15"/>
      <c r="M12" s="15"/>
      <c r="N12" s="15"/>
      <c r="O12" s="15"/>
      <c r="P12" s="17"/>
      <c r="Q12" s="137"/>
      <c r="R12" s="139"/>
      <c r="S12" s="141"/>
      <c r="T12" s="141"/>
      <c r="U12" s="127"/>
    </row>
    <row r="13" spans="1:21" s="23" customFormat="1" ht="20.25" customHeight="1">
      <c r="A13" s="130"/>
      <c r="B13" s="133"/>
      <c r="C13" s="28" t="s">
        <v>42</v>
      </c>
      <c r="D13" s="19" t="s">
        <v>19</v>
      </c>
      <c r="E13" s="19" t="s">
        <v>19</v>
      </c>
      <c r="F13" s="19" t="s">
        <v>19</v>
      </c>
      <c r="G13" s="20" t="s">
        <v>42</v>
      </c>
      <c r="H13" s="19" t="s">
        <v>19</v>
      </c>
      <c r="I13" s="21"/>
      <c r="J13" s="21"/>
      <c r="K13" s="21"/>
      <c r="L13" s="21"/>
      <c r="M13" s="21"/>
      <c r="N13" s="21"/>
      <c r="O13" s="21"/>
      <c r="P13" s="22"/>
      <c r="Q13" s="137"/>
      <c r="R13" s="139"/>
      <c r="S13" s="141"/>
      <c r="T13" s="141"/>
      <c r="U13" s="68"/>
    </row>
    <row r="14" spans="1:21" s="13" customFormat="1" ht="20.25" customHeight="1">
      <c r="A14" s="129" t="s">
        <v>358</v>
      </c>
      <c r="B14" s="132">
        <v>36</v>
      </c>
      <c r="C14" s="14">
        <v>3601</v>
      </c>
      <c r="D14" s="15">
        <v>3602</v>
      </c>
      <c r="E14" s="16">
        <v>3603</v>
      </c>
      <c r="F14" s="15">
        <v>3604</v>
      </c>
      <c r="G14" s="16">
        <v>3605</v>
      </c>
      <c r="H14" s="16">
        <v>3606</v>
      </c>
      <c r="I14" s="15"/>
      <c r="J14" s="15"/>
      <c r="K14" s="15"/>
      <c r="L14" s="15"/>
      <c r="M14" s="15"/>
      <c r="N14" s="15"/>
      <c r="O14" s="15"/>
      <c r="P14" s="17"/>
      <c r="Q14" s="144">
        <f>COUNTIF(C18:P18,"ห้องว่าง")</f>
        <v>2</v>
      </c>
      <c r="R14" s="138">
        <f t="shared" ref="R14" si="2">COUNTIFS(C18:P18,"จอง")</f>
        <v>0</v>
      </c>
      <c r="S14" s="145">
        <f>COUNTIFS(C18:P18,"โอน")</f>
        <v>4</v>
      </c>
      <c r="T14" s="140">
        <f t="shared" ref="T14" si="3">COUNTIFS(C18:Q18,"ห้องเช่า")</f>
        <v>0</v>
      </c>
      <c r="U14" s="67"/>
    </row>
    <row r="15" spans="1:21" s="13" customFormat="1" ht="20.25" customHeight="1">
      <c r="A15" s="129"/>
      <c r="B15" s="132"/>
      <c r="C15" s="14" t="s">
        <v>241</v>
      </c>
      <c r="D15" s="15" t="s">
        <v>243</v>
      </c>
      <c r="E15" s="16" t="s">
        <v>245</v>
      </c>
      <c r="F15" s="15" t="s">
        <v>247</v>
      </c>
      <c r="G15" s="16" t="s">
        <v>249</v>
      </c>
      <c r="H15" s="16" t="s">
        <v>251</v>
      </c>
      <c r="I15" s="15"/>
      <c r="J15" s="15"/>
      <c r="K15" s="15"/>
      <c r="L15" s="15"/>
      <c r="M15" s="15"/>
      <c r="N15" s="15"/>
      <c r="O15" s="15"/>
      <c r="P15" s="17"/>
      <c r="Q15" s="137"/>
      <c r="R15" s="139"/>
      <c r="S15" s="141"/>
      <c r="T15" s="141"/>
      <c r="U15" s="68"/>
    </row>
    <row r="16" spans="1:21" s="13" customFormat="1" ht="20.25" customHeight="1">
      <c r="A16" s="129"/>
      <c r="B16" s="132"/>
      <c r="C16" s="14">
        <v>34.9</v>
      </c>
      <c r="D16" s="15">
        <v>50</v>
      </c>
      <c r="E16" s="16">
        <v>73</v>
      </c>
      <c r="F16" s="15">
        <v>50</v>
      </c>
      <c r="G16" s="16">
        <v>35.4</v>
      </c>
      <c r="H16" s="16">
        <v>69</v>
      </c>
      <c r="I16" s="15"/>
      <c r="J16" s="15"/>
      <c r="K16" s="15"/>
      <c r="L16" s="15"/>
      <c r="M16" s="15"/>
      <c r="N16" s="15"/>
      <c r="O16" s="15"/>
      <c r="P16" s="17"/>
      <c r="Q16" s="137"/>
      <c r="R16" s="139"/>
      <c r="S16" s="141"/>
      <c r="T16" s="141"/>
      <c r="U16" s="68"/>
    </row>
    <row r="17" spans="1:21" s="13" customFormat="1" ht="20.25" customHeight="1">
      <c r="A17" s="129"/>
      <c r="B17" s="132"/>
      <c r="C17" s="14"/>
      <c r="D17" s="15" t="s">
        <v>529</v>
      </c>
      <c r="E17" s="16"/>
      <c r="F17" s="15" t="s">
        <v>529</v>
      </c>
      <c r="G17" s="16"/>
      <c r="H17" s="16"/>
      <c r="I17" s="15"/>
      <c r="J17" s="15"/>
      <c r="K17" s="15"/>
      <c r="L17" s="15"/>
      <c r="M17" s="15"/>
      <c r="N17" s="15"/>
      <c r="O17" s="15"/>
      <c r="P17" s="17"/>
      <c r="Q17" s="137"/>
      <c r="R17" s="139"/>
      <c r="S17" s="141"/>
      <c r="T17" s="141"/>
      <c r="U17" s="127"/>
    </row>
    <row r="18" spans="1:21" s="23" customFormat="1" ht="20.25" customHeight="1">
      <c r="A18" s="130"/>
      <c r="B18" s="133"/>
      <c r="C18" s="28" t="s">
        <v>42</v>
      </c>
      <c r="D18" s="19" t="s">
        <v>19</v>
      </c>
      <c r="E18" s="20" t="s">
        <v>42</v>
      </c>
      <c r="F18" s="19" t="s">
        <v>19</v>
      </c>
      <c r="G18" s="20" t="s">
        <v>42</v>
      </c>
      <c r="H18" s="20" t="s">
        <v>42</v>
      </c>
      <c r="I18" s="21"/>
      <c r="J18" s="21"/>
      <c r="K18" s="21"/>
      <c r="L18" s="21"/>
      <c r="M18" s="21"/>
      <c r="N18" s="21"/>
      <c r="O18" s="21"/>
      <c r="P18" s="22"/>
      <c r="Q18" s="137"/>
      <c r="R18" s="139"/>
      <c r="S18" s="141"/>
      <c r="T18" s="141"/>
      <c r="U18" s="68"/>
    </row>
    <row r="19" spans="1:21" s="13" customFormat="1" ht="20.25" customHeight="1">
      <c r="A19" s="142" t="s">
        <v>361</v>
      </c>
      <c r="B19" s="143">
        <v>35</v>
      </c>
      <c r="C19" s="24">
        <v>3501</v>
      </c>
      <c r="D19" s="25">
        <v>3502</v>
      </c>
      <c r="E19" s="25">
        <v>3503</v>
      </c>
      <c r="F19" s="25">
        <v>3504</v>
      </c>
      <c r="G19" s="26">
        <v>3505</v>
      </c>
      <c r="H19" s="26">
        <v>3506</v>
      </c>
      <c r="I19" s="25"/>
      <c r="J19" s="25"/>
      <c r="K19" s="25"/>
      <c r="L19" s="25"/>
      <c r="M19" s="25"/>
      <c r="N19" s="25"/>
      <c r="O19" s="25"/>
      <c r="P19" s="27"/>
      <c r="Q19" s="144">
        <f>COUNTIF(C23:P23,"ห้องว่าง")</f>
        <v>3</v>
      </c>
      <c r="R19" s="138">
        <f t="shared" ref="R19" si="4">COUNTIFS(C23:P23,"จอง")</f>
        <v>0</v>
      </c>
      <c r="S19" s="145">
        <f>COUNTIFS(C23:P23,"โอน")</f>
        <v>3</v>
      </c>
      <c r="T19" s="140">
        <f t="shared" ref="T19" si="5">COUNTIFS(C23:Q23,"ห้องเช่า")</f>
        <v>0</v>
      </c>
      <c r="U19" s="67"/>
    </row>
    <row r="20" spans="1:21" s="13" customFormat="1" ht="20.25" customHeight="1">
      <c r="A20" s="129"/>
      <c r="B20" s="132"/>
      <c r="C20" s="14" t="s">
        <v>241</v>
      </c>
      <c r="D20" s="15" t="s">
        <v>243</v>
      </c>
      <c r="E20" s="15" t="s">
        <v>245</v>
      </c>
      <c r="F20" s="15" t="s">
        <v>247</v>
      </c>
      <c r="G20" s="16" t="s">
        <v>249</v>
      </c>
      <c r="H20" s="16" t="s">
        <v>251</v>
      </c>
      <c r="I20" s="15"/>
      <c r="J20" s="15"/>
      <c r="K20" s="15"/>
      <c r="L20" s="15"/>
      <c r="M20" s="15"/>
      <c r="N20" s="15"/>
      <c r="O20" s="15"/>
      <c r="P20" s="17"/>
      <c r="Q20" s="137"/>
      <c r="R20" s="139"/>
      <c r="S20" s="141"/>
      <c r="T20" s="141"/>
      <c r="U20" s="68"/>
    </row>
    <row r="21" spans="1:21" s="13" customFormat="1" ht="20.25" customHeight="1">
      <c r="A21" s="129"/>
      <c r="B21" s="132"/>
      <c r="C21" s="14">
        <v>34.9</v>
      </c>
      <c r="D21" s="15">
        <v>50</v>
      </c>
      <c r="E21" s="15">
        <v>73</v>
      </c>
      <c r="F21" s="15">
        <v>50</v>
      </c>
      <c r="G21" s="16">
        <v>35.4</v>
      </c>
      <c r="H21" s="16">
        <v>69</v>
      </c>
      <c r="I21" s="15"/>
      <c r="J21" s="15"/>
      <c r="K21" s="15"/>
      <c r="L21" s="15"/>
      <c r="M21" s="15"/>
      <c r="N21" s="15"/>
      <c r="O21" s="15"/>
      <c r="P21" s="17"/>
      <c r="Q21" s="137"/>
      <c r="R21" s="139"/>
      <c r="S21" s="141"/>
      <c r="T21" s="141"/>
      <c r="U21" s="68"/>
    </row>
    <row r="22" spans="1:21" s="13" customFormat="1" ht="20.25" customHeight="1">
      <c r="A22" s="129"/>
      <c r="B22" s="132"/>
      <c r="C22" s="14"/>
      <c r="D22" s="15" t="s">
        <v>533</v>
      </c>
      <c r="E22" s="15" t="s">
        <v>533</v>
      </c>
      <c r="F22" s="15" t="s">
        <v>533</v>
      </c>
      <c r="G22" s="16"/>
      <c r="H22" s="16"/>
      <c r="I22" s="15"/>
      <c r="J22" s="15"/>
      <c r="K22" s="15"/>
      <c r="L22" s="15"/>
      <c r="M22" s="15"/>
      <c r="N22" s="15"/>
      <c r="O22" s="15"/>
      <c r="P22" s="17"/>
      <c r="Q22" s="137"/>
      <c r="R22" s="139"/>
      <c r="S22" s="141"/>
      <c r="T22" s="141"/>
      <c r="U22" s="127"/>
    </row>
    <row r="23" spans="1:21" s="23" customFormat="1" ht="20.25" customHeight="1">
      <c r="A23" s="130"/>
      <c r="B23" s="133"/>
      <c r="C23" s="28" t="s">
        <v>42</v>
      </c>
      <c r="D23" s="19" t="s">
        <v>19</v>
      </c>
      <c r="E23" s="19" t="s">
        <v>19</v>
      </c>
      <c r="F23" s="19" t="s">
        <v>19</v>
      </c>
      <c r="G23" s="20" t="s">
        <v>42</v>
      </c>
      <c r="H23" s="20" t="s">
        <v>42</v>
      </c>
      <c r="I23" s="21"/>
      <c r="J23" s="21"/>
      <c r="K23" s="21"/>
      <c r="L23" s="21"/>
      <c r="M23" s="21"/>
      <c r="N23" s="21"/>
      <c r="O23" s="21"/>
      <c r="P23" s="22"/>
      <c r="Q23" s="137"/>
      <c r="R23" s="139"/>
      <c r="S23" s="141"/>
      <c r="T23" s="141"/>
      <c r="U23" s="68"/>
    </row>
    <row r="24" spans="1:21" s="13" customFormat="1" ht="20.25" customHeight="1">
      <c r="A24" s="142" t="s">
        <v>361</v>
      </c>
      <c r="B24" s="143">
        <v>34</v>
      </c>
      <c r="C24" s="29">
        <v>3401</v>
      </c>
      <c r="D24" s="25">
        <v>3402</v>
      </c>
      <c r="E24" s="26">
        <v>3403</v>
      </c>
      <c r="F24" s="26">
        <v>3404</v>
      </c>
      <c r="G24" s="26">
        <v>3405</v>
      </c>
      <c r="H24" s="25">
        <v>3406</v>
      </c>
      <c r="I24" s="25"/>
      <c r="J24" s="25"/>
      <c r="K24" s="25"/>
      <c r="L24" s="25"/>
      <c r="M24" s="25"/>
      <c r="N24" s="25"/>
      <c r="O24" s="25"/>
      <c r="P24" s="27"/>
      <c r="Q24" s="144">
        <f>COUNTIF(C28:P28,"ห้องว่าง")</f>
        <v>3</v>
      </c>
      <c r="R24" s="138">
        <f t="shared" ref="R24" si="6">COUNTIFS(C28:P28,"จอง")</f>
        <v>0</v>
      </c>
      <c r="S24" s="145">
        <f>COUNTIFS(C28:P28,"โอน")</f>
        <v>3</v>
      </c>
      <c r="T24" s="140">
        <f t="shared" ref="T24" si="7">COUNTIFS(C28:Q28,"ห้องเช่า")</f>
        <v>0</v>
      </c>
      <c r="U24" s="67"/>
    </row>
    <row r="25" spans="1:21" s="13" customFormat="1" ht="20.25" customHeight="1">
      <c r="A25" s="129"/>
      <c r="B25" s="132"/>
      <c r="C25" s="30" t="s">
        <v>241</v>
      </c>
      <c r="D25" s="15" t="s">
        <v>243</v>
      </c>
      <c r="E25" s="16" t="s">
        <v>245</v>
      </c>
      <c r="F25" s="16" t="s">
        <v>247</v>
      </c>
      <c r="G25" s="16" t="s">
        <v>249</v>
      </c>
      <c r="H25" s="15" t="s">
        <v>251</v>
      </c>
      <c r="I25" s="15"/>
      <c r="J25" s="15"/>
      <c r="K25" s="15"/>
      <c r="L25" s="15"/>
      <c r="M25" s="15"/>
      <c r="N25" s="15"/>
      <c r="O25" s="15"/>
      <c r="P25" s="17"/>
      <c r="Q25" s="137"/>
      <c r="R25" s="139"/>
      <c r="S25" s="141"/>
      <c r="T25" s="141"/>
      <c r="U25" s="68"/>
    </row>
    <row r="26" spans="1:21" s="13" customFormat="1" ht="20.25" customHeight="1">
      <c r="A26" s="129"/>
      <c r="B26" s="132"/>
      <c r="C26" s="30">
        <v>34.9</v>
      </c>
      <c r="D26" s="15">
        <v>50</v>
      </c>
      <c r="E26" s="16">
        <v>73</v>
      </c>
      <c r="F26" s="16">
        <v>50</v>
      </c>
      <c r="G26" s="16">
        <v>35.4</v>
      </c>
      <c r="H26" s="15">
        <v>69</v>
      </c>
      <c r="I26" s="15"/>
      <c r="J26" s="15"/>
      <c r="K26" s="15"/>
      <c r="L26" s="15"/>
      <c r="M26" s="15"/>
      <c r="N26" s="15"/>
      <c r="O26" s="15"/>
      <c r="P26" s="17"/>
      <c r="Q26" s="137"/>
      <c r="R26" s="139"/>
      <c r="S26" s="141"/>
      <c r="T26" s="141"/>
      <c r="U26" s="68"/>
    </row>
    <row r="27" spans="1:21" s="13" customFormat="1" ht="20.25" customHeight="1">
      <c r="A27" s="129"/>
      <c r="B27" s="132"/>
      <c r="C27" s="15" t="s">
        <v>532</v>
      </c>
      <c r="D27" s="15" t="s">
        <v>531</v>
      </c>
      <c r="E27" s="16"/>
      <c r="F27" s="16"/>
      <c r="G27" s="16"/>
      <c r="H27" s="15" t="s">
        <v>531</v>
      </c>
      <c r="I27" s="15"/>
      <c r="J27" s="15"/>
      <c r="K27" s="15"/>
      <c r="L27" s="15"/>
      <c r="M27" s="15"/>
      <c r="N27" s="15"/>
      <c r="O27" s="15"/>
      <c r="P27" s="17"/>
      <c r="Q27" s="137"/>
      <c r="R27" s="139"/>
      <c r="S27" s="141"/>
      <c r="T27" s="141"/>
      <c r="U27" s="127"/>
    </row>
    <row r="28" spans="1:21" s="23" customFormat="1" ht="20.25" customHeight="1">
      <c r="A28" s="130"/>
      <c r="B28" s="133"/>
      <c r="C28" s="31" t="s">
        <v>19</v>
      </c>
      <c r="D28" s="19" t="s">
        <v>19</v>
      </c>
      <c r="E28" s="20" t="s">
        <v>42</v>
      </c>
      <c r="F28" s="20" t="s">
        <v>42</v>
      </c>
      <c r="G28" s="20" t="s">
        <v>42</v>
      </c>
      <c r="H28" s="19" t="s">
        <v>19</v>
      </c>
      <c r="I28" s="21"/>
      <c r="J28" s="21"/>
      <c r="K28" s="21"/>
      <c r="L28" s="21"/>
      <c r="M28" s="21"/>
      <c r="N28" s="21"/>
      <c r="O28" s="21"/>
      <c r="P28" s="22"/>
      <c r="Q28" s="137"/>
      <c r="R28" s="139"/>
      <c r="S28" s="141"/>
      <c r="T28" s="141"/>
      <c r="U28" s="68"/>
    </row>
    <row r="29" spans="1:21" s="13" customFormat="1" ht="20.25" customHeight="1">
      <c r="A29" s="142" t="s">
        <v>361</v>
      </c>
      <c r="B29" s="143">
        <v>33</v>
      </c>
      <c r="C29" s="24">
        <v>3301</v>
      </c>
      <c r="D29" s="26">
        <v>3302</v>
      </c>
      <c r="E29" s="25">
        <v>3303</v>
      </c>
      <c r="F29" s="25">
        <v>3304</v>
      </c>
      <c r="G29" s="94">
        <v>3305</v>
      </c>
      <c r="H29" s="26">
        <v>3306</v>
      </c>
      <c r="I29" s="25"/>
      <c r="J29" s="25"/>
      <c r="K29" s="25"/>
      <c r="L29" s="25"/>
      <c r="M29" s="25"/>
      <c r="N29" s="25"/>
      <c r="O29" s="25"/>
      <c r="P29" s="27"/>
      <c r="Q29" s="144">
        <f>COUNTIF(C33:P33,"ห้องว่าง")</f>
        <v>2</v>
      </c>
      <c r="R29" s="138">
        <f t="shared" ref="R29" si="8">COUNTIFS(C33:P33,"จอง")</f>
        <v>0</v>
      </c>
      <c r="S29" s="145">
        <f>COUNTIFS(C33:P33,"โอน")</f>
        <v>4</v>
      </c>
      <c r="T29" s="140">
        <f t="shared" ref="T29" si="9">COUNTIFS(C33:Q33,"ห้องเช่า")</f>
        <v>0</v>
      </c>
      <c r="U29" s="67"/>
    </row>
    <row r="30" spans="1:21" s="13" customFormat="1" ht="20.25" customHeight="1">
      <c r="A30" s="129"/>
      <c r="B30" s="132"/>
      <c r="C30" s="14" t="s">
        <v>241</v>
      </c>
      <c r="D30" s="16" t="s">
        <v>243</v>
      </c>
      <c r="E30" s="15" t="s">
        <v>245</v>
      </c>
      <c r="F30" s="15" t="s">
        <v>247</v>
      </c>
      <c r="G30" s="95" t="s">
        <v>249</v>
      </c>
      <c r="H30" s="16" t="s">
        <v>251</v>
      </c>
      <c r="I30" s="15"/>
      <c r="J30" s="15"/>
      <c r="K30" s="15"/>
      <c r="L30" s="15"/>
      <c r="M30" s="15"/>
      <c r="N30" s="15"/>
      <c r="O30" s="15"/>
      <c r="P30" s="17"/>
      <c r="Q30" s="137"/>
      <c r="R30" s="139"/>
      <c r="S30" s="141"/>
      <c r="T30" s="141"/>
      <c r="U30" s="68"/>
    </row>
    <row r="31" spans="1:21" s="13" customFormat="1" ht="20.25" customHeight="1">
      <c r="A31" s="129"/>
      <c r="B31" s="132"/>
      <c r="C31" s="14">
        <v>34.9</v>
      </c>
      <c r="D31" s="16">
        <v>50</v>
      </c>
      <c r="E31" s="15">
        <v>73</v>
      </c>
      <c r="F31" s="15">
        <v>50</v>
      </c>
      <c r="G31" s="95">
        <v>35.4</v>
      </c>
      <c r="H31" s="16">
        <v>69</v>
      </c>
      <c r="I31" s="15"/>
      <c r="J31" s="15"/>
      <c r="K31" s="15"/>
      <c r="L31" s="15"/>
      <c r="M31" s="15"/>
      <c r="N31" s="15"/>
      <c r="O31" s="15"/>
      <c r="P31" s="17"/>
      <c r="Q31" s="137"/>
      <c r="R31" s="139"/>
      <c r="S31" s="141"/>
      <c r="T31" s="141"/>
      <c r="U31" s="68"/>
    </row>
    <row r="32" spans="1:21" s="13" customFormat="1" ht="20.25" customHeight="1">
      <c r="A32" s="129"/>
      <c r="B32" s="132"/>
      <c r="C32" s="14"/>
      <c r="D32" s="16"/>
      <c r="E32" s="15" t="s">
        <v>530</v>
      </c>
      <c r="F32" s="15" t="s">
        <v>533</v>
      </c>
      <c r="G32" s="95"/>
      <c r="H32" s="16"/>
      <c r="I32" s="15"/>
      <c r="J32" s="15"/>
      <c r="K32" s="15"/>
      <c r="L32" s="15"/>
      <c r="M32" s="15"/>
      <c r="N32" s="15"/>
      <c r="O32" s="15"/>
      <c r="P32" s="17"/>
      <c r="Q32" s="137"/>
      <c r="R32" s="139"/>
      <c r="S32" s="141"/>
      <c r="T32" s="141"/>
      <c r="U32" s="127"/>
    </row>
    <row r="33" spans="1:21" s="23" customFormat="1" ht="20.25" customHeight="1">
      <c r="A33" s="130"/>
      <c r="B33" s="133"/>
      <c r="C33" s="28" t="s">
        <v>42</v>
      </c>
      <c r="D33" s="20" t="s">
        <v>42</v>
      </c>
      <c r="E33" s="19" t="s">
        <v>19</v>
      </c>
      <c r="F33" s="19" t="s">
        <v>19</v>
      </c>
      <c r="G33" s="96" t="s">
        <v>42</v>
      </c>
      <c r="H33" s="20" t="s">
        <v>42</v>
      </c>
      <c r="I33" s="21"/>
      <c r="J33" s="21"/>
      <c r="K33" s="21"/>
      <c r="L33" s="21"/>
      <c r="M33" s="21"/>
      <c r="N33" s="21"/>
      <c r="O33" s="21"/>
      <c r="P33" s="22"/>
      <c r="Q33" s="137"/>
      <c r="R33" s="139"/>
      <c r="S33" s="141"/>
      <c r="T33" s="141"/>
      <c r="U33" s="68"/>
    </row>
    <row r="34" spans="1:21" s="13" customFormat="1" ht="20.25" customHeight="1">
      <c r="A34" s="142" t="s">
        <v>361</v>
      </c>
      <c r="B34" s="143">
        <v>32</v>
      </c>
      <c r="C34" s="30">
        <v>3201</v>
      </c>
      <c r="D34" s="15">
        <v>3202</v>
      </c>
      <c r="E34" s="15">
        <v>3203</v>
      </c>
      <c r="F34" s="15">
        <v>3204</v>
      </c>
      <c r="G34" s="16">
        <v>3205</v>
      </c>
      <c r="H34" s="16">
        <v>3206</v>
      </c>
      <c r="I34" s="15"/>
      <c r="J34" s="15"/>
      <c r="K34" s="15"/>
      <c r="L34" s="15"/>
      <c r="M34" s="15"/>
      <c r="N34" s="15"/>
      <c r="O34" s="15"/>
      <c r="P34" s="17"/>
      <c r="Q34" s="144">
        <f>COUNTIF(C38:P38,"ห้องว่าง")</f>
        <v>4</v>
      </c>
      <c r="R34" s="138">
        <f t="shared" ref="R34" si="10">COUNTIFS(C38:P38,"จอง")</f>
        <v>0</v>
      </c>
      <c r="S34" s="145">
        <f>COUNTIFS(C38:P38,"โอน")</f>
        <v>2</v>
      </c>
      <c r="T34" s="140">
        <f t="shared" ref="T34" si="11">COUNTIFS(C38:Q38,"ห้องเช่า")</f>
        <v>0</v>
      </c>
      <c r="U34" s="67"/>
    </row>
    <row r="35" spans="1:21" s="13" customFormat="1" ht="20.25" customHeight="1">
      <c r="A35" s="129"/>
      <c r="B35" s="132"/>
      <c r="C35" s="30" t="s">
        <v>241</v>
      </c>
      <c r="D35" s="15" t="s">
        <v>243</v>
      </c>
      <c r="E35" s="15" t="s">
        <v>245</v>
      </c>
      <c r="F35" s="15" t="s">
        <v>247</v>
      </c>
      <c r="G35" s="16" t="s">
        <v>249</v>
      </c>
      <c r="H35" s="16" t="s">
        <v>251</v>
      </c>
      <c r="I35" s="15"/>
      <c r="J35" s="15"/>
      <c r="K35" s="15"/>
      <c r="L35" s="15"/>
      <c r="M35" s="15"/>
      <c r="N35" s="15"/>
      <c r="O35" s="15"/>
      <c r="P35" s="17"/>
      <c r="Q35" s="137"/>
      <c r="R35" s="139"/>
      <c r="S35" s="141"/>
      <c r="T35" s="141"/>
      <c r="U35" s="68"/>
    </row>
    <row r="36" spans="1:21" s="13" customFormat="1" ht="20.25" customHeight="1">
      <c r="A36" s="129"/>
      <c r="B36" s="132"/>
      <c r="C36" s="30">
        <v>34.9</v>
      </c>
      <c r="D36" s="15">
        <v>50</v>
      </c>
      <c r="E36" s="15">
        <v>73</v>
      </c>
      <c r="F36" s="15">
        <v>50</v>
      </c>
      <c r="G36" s="16">
        <v>35.4</v>
      </c>
      <c r="H36" s="16">
        <v>69</v>
      </c>
      <c r="I36" s="15"/>
      <c r="J36" s="15"/>
      <c r="K36" s="15"/>
      <c r="L36" s="15"/>
      <c r="M36" s="15"/>
      <c r="N36" s="15"/>
      <c r="O36" s="15"/>
      <c r="P36" s="17"/>
      <c r="Q36" s="137"/>
      <c r="R36" s="139"/>
      <c r="S36" s="141"/>
      <c r="T36" s="141"/>
      <c r="U36" s="68"/>
    </row>
    <row r="37" spans="1:21" s="13" customFormat="1" ht="20.25" customHeight="1">
      <c r="A37" s="129"/>
      <c r="B37" s="132"/>
      <c r="C37" s="15" t="s">
        <v>532</v>
      </c>
      <c r="D37" s="15" t="s">
        <v>531</v>
      </c>
      <c r="E37" s="15" t="s">
        <v>531</v>
      </c>
      <c r="F37" s="15" t="s">
        <v>533</v>
      </c>
      <c r="G37" s="16"/>
      <c r="H37" s="16"/>
      <c r="I37" s="15"/>
      <c r="J37" s="15"/>
      <c r="K37" s="15"/>
      <c r="L37" s="15"/>
      <c r="M37" s="15"/>
      <c r="N37" s="15"/>
      <c r="O37" s="15"/>
      <c r="P37" s="17"/>
      <c r="Q37" s="137"/>
      <c r="R37" s="139"/>
      <c r="S37" s="141"/>
      <c r="T37" s="141"/>
      <c r="U37" s="127"/>
    </row>
    <row r="38" spans="1:21" s="23" customFormat="1" ht="20.25" customHeight="1">
      <c r="A38" s="130"/>
      <c r="B38" s="133"/>
      <c r="C38" s="32" t="s">
        <v>19</v>
      </c>
      <c r="D38" s="33" t="s">
        <v>19</v>
      </c>
      <c r="E38" s="33" t="s">
        <v>19</v>
      </c>
      <c r="F38" s="33" t="s">
        <v>19</v>
      </c>
      <c r="G38" s="34" t="s">
        <v>42</v>
      </c>
      <c r="H38" s="34" t="s">
        <v>42</v>
      </c>
      <c r="I38" s="35"/>
      <c r="J38" s="35"/>
      <c r="K38" s="35"/>
      <c r="L38" s="35"/>
      <c r="M38" s="35"/>
      <c r="N38" s="35"/>
      <c r="O38" s="35"/>
      <c r="P38" s="36"/>
      <c r="Q38" s="137"/>
      <c r="R38" s="139"/>
      <c r="S38" s="141"/>
      <c r="T38" s="141"/>
      <c r="U38" s="68"/>
    </row>
    <row r="39" spans="1:21" s="13" customFormat="1" ht="20.25" customHeight="1">
      <c r="A39" s="142" t="s">
        <v>361</v>
      </c>
      <c r="B39" s="143">
        <v>31</v>
      </c>
      <c r="C39" s="24">
        <v>3101</v>
      </c>
      <c r="D39" s="26">
        <v>3102</v>
      </c>
      <c r="E39" s="25">
        <v>3103</v>
      </c>
      <c r="F39" s="26">
        <v>3104</v>
      </c>
      <c r="G39" s="78">
        <v>3105</v>
      </c>
      <c r="H39" s="25">
        <v>3106</v>
      </c>
      <c r="I39" s="25"/>
      <c r="J39" s="25"/>
      <c r="K39" s="25"/>
      <c r="L39" s="25"/>
      <c r="M39" s="25"/>
      <c r="N39" s="25"/>
      <c r="O39" s="25"/>
      <c r="P39" s="27"/>
      <c r="Q39" s="144">
        <f>COUNTIF(C43:P43,"ห้องว่าง")</f>
        <v>2</v>
      </c>
      <c r="R39" s="138">
        <f t="shared" ref="R39" si="12">COUNTIFS(C43:P43,"จอง")</f>
        <v>0</v>
      </c>
      <c r="S39" s="145">
        <f>COUNTIFS(C43:P43,"โอน")</f>
        <v>4</v>
      </c>
      <c r="T39" s="140">
        <f t="shared" ref="T39" si="13">COUNTIFS(C43:Q43,"ห้องเช่า")</f>
        <v>0</v>
      </c>
      <c r="U39" s="67"/>
    </row>
    <row r="40" spans="1:21" s="13" customFormat="1" ht="20.25" customHeight="1">
      <c r="A40" s="129"/>
      <c r="B40" s="132"/>
      <c r="C40" s="14" t="s">
        <v>241</v>
      </c>
      <c r="D40" s="16" t="s">
        <v>243</v>
      </c>
      <c r="E40" s="15" t="s">
        <v>245</v>
      </c>
      <c r="F40" s="16" t="s">
        <v>247</v>
      </c>
      <c r="G40" s="79" t="s">
        <v>249</v>
      </c>
      <c r="H40" s="15" t="s">
        <v>251</v>
      </c>
      <c r="I40" s="15"/>
      <c r="J40" s="15"/>
      <c r="K40" s="15"/>
      <c r="L40" s="15"/>
      <c r="M40" s="15"/>
      <c r="N40" s="15"/>
      <c r="O40" s="15"/>
      <c r="P40" s="17"/>
      <c r="Q40" s="137"/>
      <c r="R40" s="139"/>
      <c r="S40" s="141"/>
      <c r="T40" s="141"/>
      <c r="U40" s="68"/>
    </row>
    <row r="41" spans="1:21" s="13" customFormat="1" ht="20.25" customHeight="1">
      <c r="A41" s="129"/>
      <c r="B41" s="132"/>
      <c r="C41" s="14">
        <v>34.9</v>
      </c>
      <c r="D41" s="16">
        <v>50</v>
      </c>
      <c r="E41" s="15">
        <v>73</v>
      </c>
      <c r="F41" s="16">
        <v>50</v>
      </c>
      <c r="G41" s="79">
        <v>35.4</v>
      </c>
      <c r="H41" s="15">
        <v>69</v>
      </c>
      <c r="I41" s="15"/>
      <c r="J41" s="15"/>
      <c r="K41" s="15"/>
      <c r="L41" s="15"/>
      <c r="M41" s="15"/>
      <c r="N41" s="15"/>
      <c r="O41" s="15"/>
      <c r="P41" s="17"/>
      <c r="Q41" s="137"/>
      <c r="R41" s="139"/>
      <c r="S41" s="141"/>
      <c r="T41" s="141"/>
      <c r="U41" s="68"/>
    </row>
    <row r="42" spans="1:21" s="13" customFormat="1" ht="20.25" customHeight="1">
      <c r="A42" s="129"/>
      <c r="B42" s="132"/>
      <c r="C42" s="14"/>
      <c r="D42" s="16"/>
      <c r="E42" s="15" t="s">
        <v>530</v>
      </c>
      <c r="F42" s="16"/>
      <c r="G42" s="79"/>
      <c r="H42" s="15" t="s">
        <v>533</v>
      </c>
      <c r="I42" s="15"/>
      <c r="J42" s="15"/>
      <c r="K42" s="15"/>
      <c r="L42" s="15"/>
      <c r="M42" s="15"/>
      <c r="N42" s="15"/>
      <c r="O42" s="15"/>
      <c r="P42" s="17"/>
      <c r="Q42" s="137"/>
      <c r="R42" s="139"/>
      <c r="S42" s="141"/>
      <c r="T42" s="141"/>
      <c r="U42" s="127"/>
    </row>
    <row r="43" spans="1:21" s="23" customFormat="1" ht="20.25" customHeight="1">
      <c r="A43" s="130"/>
      <c r="B43" s="133"/>
      <c r="C43" s="28" t="s">
        <v>42</v>
      </c>
      <c r="D43" s="20" t="s">
        <v>42</v>
      </c>
      <c r="E43" s="19" t="s">
        <v>19</v>
      </c>
      <c r="F43" s="20" t="s">
        <v>42</v>
      </c>
      <c r="G43" s="80" t="s">
        <v>42</v>
      </c>
      <c r="H43" s="19" t="s">
        <v>19</v>
      </c>
      <c r="I43" s="21"/>
      <c r="J43" s="21"/>
      <c r="K43" s="21"/>
      <c r="L43" s="21"/>
      <c r="M43" s="21"/>
      <c r="N43" s="21"/>
      <c r="O43" s="21"/>
      <c r="P43" s="22"/>
      <c r="Q43" s="137"/>
      <c r="R43" s="139"/>
      <c r="S43" s="141"/>
      <c r="T43" s="141"/>
      <c r="U43" s="68"/>
    </row>
    <row r="44" spans="1:21" s="13" customFormat="1" ht="20.25" customHeight="1">
      <c r="A44" s="129" t="s">
        <v>361</v>
      </c>
      <c r="B44" s="132">
        <v>30</v>
      </c>
      <c r="C44" s="30">
        <v>3001</v>
      </c>
      <c r="D44" s="16">
        <v>3002</v>
      </c>
      <c r="E44" s="16">
        <v>3003</v>
      </c>
      <c r="F44" s="16">
        <v>3004</v>
      </c>
      <c r="G44" s="16">
        <v>3005</v>
      </c>
      <c r="H44" s="15">
        <v>3006</v>
      </c>
      <c r="I44" s="15"/>
      <c r="J44" s="15"/>
      <c r="K44" s="15"/>
      <c r="L44" s="15"/>
      <c r="M44" s="15"/>
      <c r="N44" s="15"/>
      <c r="O44" s="15"/>
      <c r="P44" s="17"/>
      <c r="Q44" s="144">
        <f>COUNTIF(C48:P48,"ห้องว่าง")</f>
        <v>2</v>
      </c>
      <c r="R44" s="138">
        <f t="shared" ref="R44" si="14">COUNTIFS(C48:P48,"จอง")</f>
        <v>0</v>
      </c>
      <c r="S44" s="145">
        <f>COUNTIFS(C48:P48,"โอน")</f>
        <v>4</v>
      </c>
      <c r="T44" s="140">
        <f t="shared" ref="T44" si="15">COUNTIFS(C48:Q48,"ห้องเช่า")</f>
        <v>0</v>
      </c>
      <c r="U44" s="67"/>
    </row>
    <row r="45" spans="1:21" s="13" customFormat="1" ht="20.25" customHeight="1">
      <c r="A45" s="129"/>
      <c r="B45" s="132"/>
      <c r="C45" s="30" t="s">
        <v>241</v>
      </c>
      <c r="D45" s="16" t="s">
        <v>243</v>
      </c>
      <c r="E45" s="16" t="s">
        <v>245</v>
      </c>
      <c r="F45" s="16" t="s">
        <v>247</v>
      </c>
      <c r="G45" s="16" t="s">
        <v>249</v>
      </c>
      <c r="H45" s="15" t="s">
        <v>251</v>
      </c>
      <c r="I45" s="15"/>
      <c r="J45" s="15"/>
      <c r="K45" s="15"/>
      <c r="L45" s="15"/>
      <c r="M45" s="15"/>
      <c r="N45" s="15"/>
      <c r="O45" s="15"/>
      <c r="P45" s="17"/>
      <c r="Q45" s="137"/>
      <c r="R45" s="139"/>
      <c r="S45" s="141"/>
      <c r="T45" s="141"/>
      <c r="U45" s="68"/>
    </row>
    <row r="46" spans="1:21" s="13" customFormat="1" ht="20.25" customHeight="1">
      <c r="A46" s="129"/>
      <c r="B46" s="132"/>
      <c r="C46" s="30">
        <v>34.9</v>
      </c>
      <c r="D46" s="16">
        <v>50</v>
      </c>
      <c r="E46" s="16">
        <v>73</v>
      </c>
      <c r="F46" s="16">
        <v>50</v>
      </c>
      <c r="G46" s="16">
        <v>35.4</v>
      </c>
      <c r="H46" s="15">
        <v>69</v>
      </c>
      <c r="I46" s="15"/>
      <c r="J46" s="15"/>
      <c r="K46" s="15"/>
      <c r="L46" s="15"/>
      <c r="M46" s="15"/>
      <c r="N46" s="15"/>
      <c r="O46" s="15"/>
      <c r="P46" s="17"/>
      <c r="Q46" s="137"/>
      <c r="R46" s="139"/>
      <c r="S46" s="141"/>
      <c r="T46" s="141"/>
      <c r="U46" s="68"/>
    </row>
    <row r="47" spans="1:21" s="13" customFormat="1" ht="20.25" customHeight="1">
      <c r="A47" s="129"/>
      <c r="B47" s="132"/>
      <c r="C47" s="15" t="s">
        <v>532</v>
      </c>
      <c r="D47" s="16"/>
      <c r="E47" s="16"/>
      <c r="F47" s="16"/>
      <c r="G47" s="16"/>
      <c r="H47" s="15" t="s">
        <v>530</v>
      </c>
      <c r="I47" s="15"/>
      <c r="J47" s="15"/>
      <c r="K47" s="15"/>
      <c r="L47" s="15"/>
      <c r="M47" s="15"/>
      <c r="N47" s="15"/>
      <c r="O47" s="15"/>
      <c r="P47" s="17"/>
      <c r="Q47" s="137"/>
      <c r="R47" s="139"/>
      <c r="S47" s="141"/>
      <c r="T47" s="141"/>
      <c r="U47" s="127"/>
    </row>
    <row r="48" spans="1:21" s="23" customFormat="1" ht="20.25" customHeight="1">
      <c r="A48" s="130"/>
      <c r="B48" s="133"/>
      <c r="C48" s="31" t="s">
        <v>19</v>
      </c>
      <c r="D48" s="20" t="s">
        <v>42</v>
      </c>
      <c r="E48" s="20" t="s">
        <v>42</v>
      </c>
      <c r="F48" s="20" t="s">
        <v>42</v>
      </c>
      <c r="G48" s="20" t="s">
        <v>42</v>
      </c>
      <c r="H48" s="19" t="s">
        <v>19</v>
      </c>
      <c r="I48" s="21"/>
      <c r="J48" s="21"/>
      <c r="K48" s="21"/>
      <c r="L48" s="21"/>
      <c r="M48" s="21"/>
      <c r="N48" s="21"/>
      <c r="O48" s="21"/>
      <c r="P48" s="22"/>
      <c r="Q48" s="137"/>
      <c r="R48" s="139"/>
      <c r="S48" s="141"/>
      <c r="T48" s="141"/>
      <c r="U48" s="68"/>
    </row>
    <row r="49" spans="1:21" s="13" customFormat="1" ht="20.25" customHeight="1">
      <c r="A49" s="142" t="s">
        <v>361</v>
      </c>
      <c r="B49" s="143">
        <v>29</v>
      </c>
      <c r="C49" s="24">
        <v>2901</v>
      </c>
      <c r="D49" s="26">
        <v>2902</v>
      </c>
      <c r="E49" s="26">
        <v>2903</v>
      </c>
      <c r="F49" s="25">
        <v>2904</v>
      </c>
      <c r="G49" s="26">
        <v>2905</v>
      </c>
      <c r="H49" s="25">
        <v>2906</v>
      </c>
      <c r="I49" s="25"/>
      <c r="J49" s="25"/>
      <c r="K49" s="25"/>
      <c r="L49" s="25"/>
      <c r="M49" s="25"/>
      <c r="N49" s="25"/>
      <c r="O49" s="25"/>
      <c r="P49" s="27"/>
      <c r="Q49" s="144">
        <f>COUNTIF(C53:P53,"ห้องว่าง")</f>
        <v>2</v>
      </c>
      <c r="R49" s="138">
        <f t="shared" ref="R49" si="16">COUNTIFS(C53:P53,"จอง")</f>
        <v>0</v>
      </c>
      <c r="S49" s="145">
        <f>COUNTIFS(C53:P53,"โอน")</f>
        <v>4</v>
      </c>
      <c r="T49" s="140">
        <f t="shared" ref="T49" si="17">COUNTIFS(C53:Q53,"ห้องเช่า")</f>
        <v>0</v>
      </c>
      <c r="U49" s="67"/>
    </row>
    <row r="50" spans="1:21" s="13" customFormat="1" ht="20.25" customHeight="1">
      <c r="A50" s="129"/>
      <c r="B50" s="132"/>
      <c r="C50" s="14" t="s">
        <v>241</v>
      </c>
      <c r="D50" s="16" t="s">
        <v>243</v>
      </c>
      <c r="E50" s="16" t="s">
        <v>245</v>
      </c>
      <c r="F50" s="15" t="s">
        <v>247</v>
      </c>
      <c r="G50" s="16" t="s">
        <v>249</v>
      </c>
      <c r="H50" s="15" t="s">
        <v>251</v>
      </c>
      <c r="I50" s="15"/>
      <c r="J50" s="15"/>
      <c r="K50" s="15"/>
      <c r="L50" s="15"/>
      <c r="M50" s="15"/>
      <c r="N50" s="15"/>
      <c r="O50" s="15"/>
      <c r="P50" s="17"/>
      <c r="Q50" s="137"/>
      <c r="R50" s="139"/>
      <c r="S50" s="141"/>
      <c r="T50" s="141"/>
      <c r="U50" s="68"/>
    </row>
    <row r="51" spans="1:21" s="13" customFormat="1" ht="20.25" customHeight="1">
      <c r="A51" s="129"/>
      <c r="B51" s="132"/>
      <c r="C51" s="14">
        <v>34.9</v>
      </c>
      <c r="D51" s="16">
        <v>50</v>
      </c>
      <c r="E51" s="16">
        <v>73</v>
      </c>
      <c r="F51" s="15">
        <v>50</v>
      </c>
      <c r="G51" s="16">
        <v>35.4</v>
      </c>
      <c r="H51" s="15">
        <v>69</v>
      </c>
      <c r="I51" s="15"/>
      <c r="J51" s="15"/>
      <c r="K51" s="15"/>
      <c r="L51" s="15"/>
      <c r="M51" s="15"/>
      <c r="N51" s="15"/>
      <c r="O51" s="15"/>
      <c r="P51" s="17"/>
      <c r="Q51" s="137"/>
      <c r="R51" s="139"/>
      <c r="S51" s="141"/>
      <c r="T51" s="141"/>
      <c r="U51" s="68"/>
    </row>
    <row r="52" spans="1:21" s="13" customFormat="1" ht="20.25" customHeight="1">
      <c r="A52" s="129"/>
      <c r="B52" s="132"/>
      <c r="C52" s="14"/>
      <c r="D52" s="16"/>
      <c r="E52" s="16"/>
      <c r="F52" s="15" t="s">
        <v>533</v>
      </c>
      <c r="G52" s="16"/>
      <c r="H52" s="15" t="s">
        <v>532</v>
      </c>
      <c r="I52" s="15"/>
      <c r="J52" s="15"/>
      <c r="K52" s="15"/>
      <c r="L52" s="15"/>
      <c r="M52" s="15"/>
      <c r="N52" s="15"/>
      <c r="O52" s="15"/>
      <c r="P52" s="17"/>
      <c r="Q52" s="137"/>
      <c r="R52" s="139"/>
      <c r="S52" s="141"/>
      <c r="T52" s="141"/>
      <c r="U52" s="127"/>
    </row>
    <row r="53" spans="1:21" s="23" customFormat="1" ht="20.25" customHeight="1">
      <c r="A53" s="130"/>
      <c r="B53" s="133"/>
      <c r="C53" s="28" t="s">
        <v>42</v>
      </c>
      <c r="D53" s="20" t="s">
        <v>42</v>
      </c>
      <c r="E53" s="20" t="s">
        <v>42</v>
      </c>
      <c r="F53" s="19" t="s">
        <v>19</v>
      </c>
      <c r="G53" s="20" t="s">
        <v>42</v>
      </c>
      <c r="H53" s="19" t="s">
        <v>19</v>
      </c>
      <c r="I53" s="21"/>
      <c r="J53" s="21"/>
      <c r="K53" s="21"/>
      <c r="L53" s="21"/>
      <c r="M53" s="21"/>
      <c r="N53" s="21"/>
      <c r="O53" s="21"/>
      <c r="P53" s="22"/>
      <c r="Q53" s="137"/>
      <c r="R53" s="139"/>
      <c r="S53" s="141"/>
      <c r="T53" s="141"/>
      <c r="U53" s="68"/>
    </row>
    <row r="54" spans="1:21" s="13" customFormat="1" ht="20.25" customHeight="1">
      <c r="A54" s="142" t="s">
        <v>361</v>
      </c>
      <c r="B54" s="143">
        <v>28</v>
      </c>
      <c r="C54" s="24">
        <v>2801</v>
      </c>
      <c r="D54" s="25">
        <v>2802</v>
      </c>
      <c r="E54" s="26">
        <v>2803</v>
      </c>
      <c r="F54" s="25">
        <v>2804</v>
      </c>
      <c r="G54" s="25">
        <v>2805</v>
      </c>
      <c r="H54" s="26">
        <v>2806</v>
      </c>
      <c r="I54" s="25"/>
      <c r="J54" s="25"/>
      <c r="K54" s="25"/>
      <c r="L54" s="25"/>
      <c r="M54" s="25"/>
      <c r="N54" s="25"/>
      <c r="O54" s="25"/>
      <c r="P54" s="27"/>
      <c r="Q54" s="144">
        <f>COUNTIF(C58:P58,"ห้องว่าง")</f>
        <v>3</v>
      </c>
      <c r="R54" s="138">
        <f t="shared" ref="R54" si="18">COUNTIFS(C58:P58,"จอง")</f>
        <v>0</v>
      </c>
      <c r="S54" s="145">
        <f>COUNTIFS(C58:P58,"โอน")</f>
        <v>3</v>
      </c>
      <c r="T54" s="140">
        <f t="shared" ref="T54" si="19">COUNTIFS(C58:Q58,"ห้องเช่า")</f>
        <v>0</v>
      </c>
      <c r="U54" s="67"/>
    </row>
    <row r="55" spans="1:21" s="13" customFormat="1" ht="20.25" customHeight="1">
      <c r="A55" s="129"/>
      <c r="B55" s="132"/>
      <c r="C55" s="14" t="s">
        <v>241</v>
      </c>
      <c r="D55" s="15" t="s">
        <v>243</v>
      </c>
      <c r="E55" s="16" t="s">
        <v>245</v>
      </c>
      <c r="F55" s="15" t="s">
        <v>247</v>
      </c>
      <c r="G55" s="15" t="s">
        <v>249</v>
      </c>
      <c r="H55" s="16" t="s">
        <v>251</v>
      </c>
      <c r="I55" s="15"/>
      <c r="J55" s="15"/>
      <c r="K55" s="15"/>
      <c r="L55" s="15"/>
      <c r="M55" s="15"/>
      <c r="N55" s="15"/>
      <c r="O55" s="15"/>
      <c r="P55" s="17"/>
      <c r="Q55" s="137"/>
      <c r="R55" s="139"/>
      <c r="S55" s="141"/>
      <c r="T55" s="141"/>
      <c r="U55" s="68"/>
    </row>
    <row r="56" spans="1:21" s="13" customFormat="1" ht="20.25" customHeight="1">
      <c r="A56" s="129"/>
      <c r="B56" s="132"/>
      <c r="C56" s="14">
        <v>34.9</v>
      </c>
      <c r="D56" s="15">
        <v>50</v>
      </c>
      <c r="E56" s="16">
        <v>73</v>
      </c>
      <c r="F56" s="15">
        <v>50</v>
      </c>
      <c r="G56" s="15">
        <v>35.4</v>
      </c>
      <c r="H56" s="16">
        <v>69</v>
      </c>
      <c r="I56" s="15"/>
      <c r="J56" s="15"/>
      <c r="K56" s="15"/>
      <c r="L56" s="15"/>
      <c r="M56" s="15"/>
      <c r="N56" s="15"/>
      <c r="O56" s="15"/>
      <c r="P56" s="17"/>
      <c r="Q56" s="137"/>
      <c r="R56" s="139"/>
      <c r="S56" s="141"/>
      <c r="T56" s="141"/>
      <c r="U56" s="68"/>
    </row>
    <row r="57" spans="1:21" s="13" customFormat="1" ht="20.25" customHeight="1">
      <c r="A57" s="129"/>
      <c r="B57" s="132"/>
      <c r="C57" s="14"/>
      <c r="D57" s="15" t="s">
        <v>533</v>
      </c>
      <c r="E57" s="16"/>
      <c r="F57" s="15" t="s">
        <v>531</v>
      </c>
      <c r="G57" s="15" t="s">
        <v>532</v>
      </c>
      <c r="H57" s="16"/>
      <c r="I57" s="15"/>
      <c r="J57" s="15"/>
      <c r="K57" s="15"/>
      <c r="L57" s="15"/>
      <c r="M57" s="15"/>
      <c r="N57" s="15"/>
      <c r="O57" s="15"/>
      <c r="P57" s="17"/>
      <c r="Q57" s="137"/>
      <c r="R57" s="139"/>
      <c r="S57" s="141"/>
      <c r="T57" s="141"/>
      <c r="U57" s="127"/>
    </row>
    <row r="58" spans="1:21" s="23" customFormat="1" ht="20.25" customHeight="1">
      <c r="A58" s="130"/>
      <c r="B58" s="133"/>
      <c r="C58" s="28" t="s">
        <v>42</v>
      </c>
      <c r="D58" s="19" t="s">
        <v>19</v>
      </c>
      <c r="E58" s="20" t="s">
        <v>42</v>
      </c>
      <c r="F58" s="19" t="s">
        <v>19</v>
      </c>
      <c r="G58" s="19" t="s">
        <v>19</v>
      </c>
      <c r="H58" s="20" t="s">
        <v>42</v>
      </c>
      <c r="I58" s="21"/>
      <c r="J58" s="21"/>
      <c r="K58" s="21"/>
      <c r="L58" s="21"/>
      <c r="M58" s="21"/>
      <c r="N58" s="21"/>
      <c r="O58" s="21"/>
      <c r="P58" s="22"/>
      <c r="Q58" s="137"/>
      <c r="R58" s="139"/>
      <c r="S58" s="141"/>
      <c r="T58" s="141"/>
      <c r="U58" s="68"/>
    </row>
    <row r="59" spans="1:21" s="13" customFormat="1" ht="20.25" customHeight="1">
      <c r="A59" s="142" t="s">
        <v>358</v>
      </c>
      <c r="B59" s="143">
        <v>27</v>
      </c>
      <c r="C59" s="29">
        <v>2701</v>
      </c>
      <c r="D59" s="26">
        <v>2702</v>
      </c>
      <c r="E59" s="26">
        <v>2703</v>
      </c>
      <c r="F59" s="26">
        <v>2704</v>
      </c>
      <c r="G59" s="25">
        <v>2705</v>
      </c>
      <c r="H59" s="26">
        <v>2706</v>
      </c>
      <c r="I59" s="25"/>
      <c r="J59" s="25"/>
      <c r="K59" s="25"/>
      <c r="L59" s="25"/>
      <c r="M59" s="25"/>
      <c r="N59" s="25"/>
      <c r="O59" s="25"/>
      <c r="P59" s="27"/>
      <c r="Q59" s="144">
        <f>COUNTIF(C63:P63,"ห้องว่าง")</f>
        <v>2</v>
      </c>
      <c r="R59" s="138">
        <f t="shared" ref="R59" si="20">COUNTIFS(C63:P63,"จอง")</f>
        <v>0</v>
      </c>
      <c r="S59" s="145">
        <f>COUNTIFS(C63:P63,"โอน")</f>
        <v>4</v>
      </c>
      <c r="T59" s="140">
        <f t="shared" ref="T59" si="21">COUNTIFS(C63:Q63,"ห้องเช่า")</f>
        <v>0</v>
      </c>
      <c r="U59" s="67"/>
    </row>
    <row r="60" spans="1:21" s="13" customFormat="1" ht="20.25" customHeight="1">
      <c r="A60" s="129"/>
      <c r="B60" s="132"/>
      <c r="C60" s="30" t="s">
        <v>241</v>
      </c>
      <c r="D60" s="16" t="s">
        <v>243</v>
      </c>
      <c r="E60" s="16" t="s">
        <v>245</v>
      </c>
      <c r="F60" s="16" t="s">
        <v>247</v>
      </c>
      <c r="G60" s="15" t="s">
        <v>249</v>
      </c>
      <c r="H60" s="16" t="s">
        <v>251</v>
      </c>
      <c r="I60" s="15"/>
      <c r="J60" s="15"/>
      <c r="K60" s="15"/>
      <c r="L60" s="15"/>
      <c r="M60" s="15"/>
      <c r="N60" s="15"/>
      <c r="O60" s="15"/>
      <c r="P60" s="17"/>
      <c r="Q60" s="137"/>
      <c r="R60" s="139"/>
      <c r="S60" s="141"/>
      <c r="T60" s="141"/>
      <c r="U60" s="68"/>
    </row>
    <row r="61" spans="1:21" s="13" customFormat="1" ht="20.25" customHeight="1">
      <c r="A61" s="129"/>
      <c r="B61" s="132"/>
      <c r="C61" s="30">
        <v>34.9</v>
      </c>
      <c r="D61" s="16">
        <v>50</v>
      </c>
      <c r="E61" s="16">
        <v>73</v>
      </c>
      <c r="F61" s="16">
        <v>50</v>
      </c>
      <c r="G61" s="15">
        <v>35.4</v>
      </c>
      <c r="H61" s="16">
        <v>69</v>
      </c>
      <c r="I61" s="15"/>
      <c r="J61" s="15"/>
      <c r="K61" s="15"/>
      <c r="L61" s="15"/>
      <c r="M61" s="15"/>
      <c r="N61" s="15"/>
      <c r="O61" s="15"/>
      <c r="P61" s="17"/>
      <c r="Q61" s="137"/>
      <c r="R61" s="139"/>
      <c r="S61" s="141"/>
      <c r="T61" s="141"/>
      <c r="U61" s="68"/>
    </row>
    <row r="62" spans="1:21" s="13" customFormat="1" ht="20.25" customHeight="1">
      <c r="A62" s="129"/>
      <c r="B62" s="132"/>
      <c r="C62" s="15" t="s">
        <v>532</v>
      </c>
      <c r="D62" s="16"/>
      <c r="E62" s="16"/>
      <c r="F62" s="16"/>
      <c r="G62" s="15" t="s">
        <v>532</v>
      </c>
      <c r="H62" s="16" t="s">
        <v>531</v>
      </c>
      <c r="I62" s="15"/>
      <c r="J62" s="15"/>
      <c r="K62" s="15"/>
      <c r="L62" s="15"/>
      <c r="M62" s="15"/>
      <c r="N62" s="15"/>
      <c r="O62" s="15"/>
      <c r="P62" s="17"/>
      <c r="Q62" s="137"/>
      <c r="R62" s="139"/>
      <c r="S62" s="141"/>
      <c r="T62" s="141"/>
      <c r="U62" s="127"/>
    </row>
    <row r="63" spans="1:21" s="23" customFormat="1" ht="20.25" customHeight="1">
      <c r="A63" s="130"/>
      <c r="B63" s="133"/>
      <c r="C63" s="31" t="s">
        <v>19</v>
      </c>
      <c r="D63" s="20" t="s">
        <v>42</v>
      </c>
      <c r="E63" s="20" t="s">
        <v>42</v>
      </c>
      <c r="F63" s="20" t="s">
        <v>42</v>
      </c>
      <c r="G63" s="19" t="s">
        <v>19</v>
      </c>
      <c r="H63" s="20" t="s">
        <v>42</v>
      </c>
      <c r="I63" s="21"/>
      <c r="J63" s="21"/>
      <c r="K63" s="21"/>
      <c r="L63" s="21"/>
      <c r="M63" s="21"/>
      <c r="N63" s="21"/>
      <c r="O63" s="21"/>
      <c r="P63" s="22"/>
      <c r="Q63" s="137"/>
      <c r="R63" s="139"/>
      <c r="S63" s="141"/>
      <c r="T63" s="141"/>
      <c r="U63" s="68"/>
    </row>
    <row r="64" spans="1:21" s="13" customFormat="1" ht="20.25" customHeight="1">
      <c r="A64" s="142" t="s">
        <v>358</v>
      </c>
      <c r="B64" s="143">
        <v>26</v>
      </c>
      <c r="C64" s="30">
        <v>2601</v>
      </c>
      <c r="D64" s="15">
        <v>2602</v>
      </c>
      <c r="E64" s="16">
        <v>2603</v>
      </c>
      <c r="F64" s="15">
        <v>2604</v>
      </c>
      <c r="G64" s="15">
        <v>2605</v>
      </c>
      <c r="H64" s="15">
        <v>2606</v>
      </c>
      <c r="I64" s="15"/>
      <c r="J64" s="15"/>
      <c r="K64" s="15"/>
      <c r="L64" s="15"/>
      <c r="M64" s="15"/>
      <c r="N64" s="15"/>
      <c r="O64" s="15"/>
      <c r="P64" s="17"/>
      <c r="Q64" s="144">
        <f>COUNTIF(C68:P68,"ห้องว่าง")</f>
        <v>5</v>
      </c>
      <c r="R64" s="138">
        <f t="shared" ref="R64" si="22">COUNTIFS(C68:P68,"จอง")</f>
        <v>0</v>
      </c>
      <c r="S64" s="145">
        <f>COUNTIFS(C68:P68,"โอน")</f>
        <v>1</v>
      </c>
      <c r="T64" s="140">
        <f t="shared" ref="T64" si="23">COUNTIFS(C68:Q68,"ห้องเช่า")</f>
        <v>0</v>
      </c>
      <c r="U64" s="67"/>
    </row>
    <row r="65" spans="1:21" s="13" customFormat="1" ht="20.25" customHeight="1">
      <c r="A65" s="129"/>
      <c r="B65" s="132"/>
      <c r="C65" s="30" t="s">
        <v>241</v>
      </c>
      <c r="D65" s="15" t="s">
        <v>243</v>
      </c>
      <c r="E65" s="16" t="s">
        <v>245</v>
      </c>
      <c r="F65" s="15" t="s">
        <v>247</v>
      </c>
      <c r="G65" s="15" t="s">
        <v>249</v>
      </c>
      <c r="H65" s="15" t="s">
        <v>251</v>
      </c>
      <c r="I65" s="15"/>
      <c r="J65" s="15"/>
      <c r="K65" s="15"/>
      <c r="L65" s="15"/>
      <c r="M65" s="15"/>
      <c r="N65" s="15"/>
      <c r="O65" s="15"/>
      <c r="P65" s="17"/>
      <c r="Q65" s="137"/>
      <c r="R65" s="139"/>
      <c r="S65" s="141"/>
      <c r="T65" s="141"/>
      <c r="U65" s="68"/>
    </row>
    <row r="66" spans="1:21" s="13" customFormat="1" ht="20.25" customHeight="1">
      <c r="A66" s="129"/>
      <c r="B66" s="132"/>
      <c r="C66" s="30">
        <v>34.9</v>
      </c>
      <c r="D66" s="15">
        <v>50</v>
      </c>
      <c r="E66" s="16">
        <v>73</v>
      </c>
      <c r="F66" s="15">
        <v>50</v>
      </c>
      <c r="G66" s="15">
        <v>35.4</v>
      </c>
      <c r="H66" s="15">
        <v>69</v>
      </c>
      <c r="I66" s="15"/>
      <c r="J66" s="15"/>
      <c r="K66" s="15"/>
      <c r="L66" s="15"/>
      <c r="M66" s="15"/>
      <c r="N66" s="15"/>
      <c r="O66" s="15"/>
      <c r="P66" s="17"/>
      <c r="Q66" s="137"/>
      <c r="R66" s="139"/>
      <c r="S66" s="141"/>
      <c r="T66" s="141"/>
      <c r="U66" s="68"/>
    </row>
    <row r="67" spans="1:21" s="13" customFormat="1" ht="20.25" customHeight="1">
      <c r="A67" s="129"/>
      <c r="B67" s="132"/>
      <c r="C67" s="15" t="s">
        <v>532</v>
      </c>
      <c r="D67" s="15" t="s">
        <v>529</v>
      </c>
      <c r="E67" s="16"/>
      <c r="F67" s="15" t="s">
        <v>529</v>
      </c>
      <c r="G67" s="15" t="s">
        <v>532</v>
      </c>
      <c r="H67" s="15" t="s">
        <v>529</v>
      </c>
      <c r="I67" s="15"/>
      <c r="J67" s="15"/>
      <c r="K67" s="15"/>
      <c r="L67" s="15"/>
      <c r="M67" s="15"/>
      <c r="N67" s="15"/>
      <c r="O67" s="15"/>
      <c r="P67" s="17"/>
      <c r="Q67" s="137"/>
      <c r="R67" s="139"/>
      <c r="S67" s="141"/>
      <c r="T67" s="141"/>
      <c r="U67" s="127"/>
    </row>
    <row r="68" spans="1:21" s="23" customFormat="1" ht="20.25" customHeight="1">
      <c r="A68" s="130"/>
      <c r="B68" s="133"/>
      <c r="C68" s="31" t="s">
        <v>19</v>
      </c>
      <c r="D68" s="19" t="s">
        <v>19</v>
      </c>
      <c r="E68" s="20" t="s">
        <v>42</v>
      </c>
      <c r="F68" s="19" t="s">
        <v>19</v>
      </c>
      <c r="G68" s="19" t="s">
        <v>19</v>
      </c>
      <c r="H68" s="19" t="s">
        <v>19</v>
      </c>
      <c r="I68" s="21"/>
      <c r="J68" s="21"/>
      <c r="K68" s="21"/>
      <c r="L68" s="21"/>
      <c r="M68" s="21"/>
      <c r="N68" s="21"/>
      <c r="O68" s="21"/>
      <c r="P68" s="22"/>
      <c r="Q68" s="137"/>
      <c r="R68" s="139"/>
      <c r="S68" s="141"/>
      <c r="T68" s="141"/>
      <c r="U68" s="68"/>
    </row>
    <row r="69" spans="1:21" s="13" customFormat="1" ht="20.25" customHeight="1">
      <c r="A69" s="142" t="s">
        <v>358</v>
      </c>
      <c r="B69" s="143">
        <v>25</v>
      </c>
      <c r="C69" s="29">
        <v>2501</v>
      </c>
      <c r="D69" s="26">
        <v>2502</v>
      </c>
      <c r="E69" s="25">
        <v>2503</v>
      </c>
      <c r="F69" s="25">
        <v>2504</v>
      </c>
      <c r="G69" s="25">
        <v>2505</v>
      </c>
      <c r="H69" s="26">
        <v>2506</v>
      </c>
      <c r="I69" s="25"/>
      <c r="J69" s="25"/>
      <c r="K69" s="25"/>
      <c r="L69" s="25"/>
      <c r="M69" s="25"/>
      <c r="N69" s="25"/>
      <c r="O69" s="25"/>
      <c r="P69" s="27"/>
      <c r="Q69" s="144">
        <f>COUNTIF(C73:P73,"ห้องว่าง")</f>
        <v>4</v>
      </c>
      <c r="R69" s="138">
        <f t="shared" ref="R69" si="24">COUNTIFS(C73:P73,"จอง")</f>
        <v>0</v>
      </c>
      <c r="S69" s="145">
        <f>COUNTIFS(C73:P73,"โอน")</f>
        <v>2</v>
      </c>
      <c r="T69" s="140">
        <f t="shared" ref="T69" si="25">COUNTIFS(C73:Q73,"ห้องเช่า")</f>
        <v>0</v>
      </c>
      <c r="U69" s="67"/>
    </row>
    <row r="70" spans="1:21" s="13" customFormat="1" ht="20.25" customHeight="1">
      <c r="A70" s="129"/>
      <c r="B70" s="132"/>
      <c r="C70" s="30" t="s">
        <v>241</v>
      </c>
      <c r="D70" s="16" t="s">
        <v>243</v>
      </c>
      <c r="E70" s="15" t="s">
        <v>245</v>
      </c>
      <c r="F70" s="15" t="s">
        <v>247</v>
      </c>
      <c r="G70" s="15" t="s">
        <v>249</v>
      </c>
      <c r="H70" s="16" t="s">
        <v>251</v>
      </c>
      <c r="I70" s="15"/>
      <c r="J70" s="15"/>
      <c r="K70" s="15"/>
      <c r="L70" s="15"/>
      <c r="M70" s="15"/>
      <c r="N70" s="15"/>
      <c r="O70" s="15"/>
      <c r="P70" s="17"/>
      <c r="Q70" s="137"/>
      <c r="R70" s="139"/>
      <c r="S70" s="141"/>
      <c r="T70" s="141"/>
      <c r="U70" s="68"/>
    </row>
    <row r="71" spans="1:21" s="13" customFormat="1" ht="20.25" customHeight="1">
      <c r="A71" s="129"/>
      <c r="B71" s="132"/>
      <c r="C71" s="30">
        <v>34.9</v>
      </c>
      <c r="D71" s="16">
        <v>50</v>
      </c>
      <c r="E71" s="15">
        <v>73</v>
      </c>
      <c r="F71" s="15">
        <v>50</v>
      </c>
      <c r="G71" s="15">
        <v>35.4</v>
      </c>
      <c r="H71" s="16">
        <v>69</v>
      </c>
      <c r="I71" s="15"/>
      <c r="J71" s="15"/>
      <c r="K71" s="15"/>
      <c r="L71" s="15"/>
      <c r="M71" s="15"/>
      <c r="N71" s="15"/>
      <c r="O71" s="15"/>
      <c r="P71" s="17"/>
      <c r="Q71" s="137"/>
      <c r="R71" s="139"/>
      <c r="S71" s="141"/>
      <c r="T71" s="141"/>
      <c r="U71" s="68"/>
    </row>
    <row r="72" spans="1:21" s="13" customFormat="1" ht="20.25" customHeight="1">
      <c r="A72" s="129"/>
      <c r="B72" s="132"/>
      <c r="C72" s="15" t="s">
        <v>532</v>
      </c>
      <c r="D72" s="16"/>
      <c r="E72" s="15" t="s">
        <v>529</v>
      </c>
      <c r="F72" s="15" t="s">
        <v>529</v>
      </c>
      <c r="G72" s="15" t="s">
        <v>532</v>
      </c>
      <c r="H72" s="16"/>
      <c r="I72" s="15"/>
      <c r="J72" s="15"/>
      <c r="K72" s="15"/>
      <c r="L72" s="15"/>
      <c r="M72" s="15"/>
      <c r="N72" s="15"/>
      <c r="O72" s="15"/>
      <c r="P72" s="17"/>
      <c r="Q72" s="137"/>
      <c r="R72" s="139"/>
      <c r="S72" s="141"/>
      <c r="T72" s="141"/>
      <c r="U72" s="127"/>
    </row>
    <row r="73" spans="1:21" s="23" customFormat="1" ht="18.75" customHeight="1">
      <c r="A73" s="130"/>
      <c r="B73" s="133"/>
      <c r="C73" s="31" t="s">
        <v>19</v>
      </c>
      <c r="D73" s="20" t="s">
        <v>42</v>
      </c>
      <c r="E73" s="19" t="s">
        <v>19</v>
      </c>
      <c r="F73" s="19" t="s">
        <v>19</v>
      </c>
      <c r="G73" s="19" t="s">
        <v>19</v>
      </c>
      <c r="H73" s="20" t="s">
        <v>42</v>
      </c>
      <c r="I73" s="21"/>
      <c r="J73" s="21"/>
      <c r="K73" s="21"/>
      <c r="L73" s="21"/>
      <c r="M73" s="21"/>
      <c r="N73" s="21"/>
      <c r="O73" s="21"/>
      <c r="P73" s="22"/>
      <c r="Q73" s="137"/>
      <c r="R73" s="139"/>
      <c r="S73" s="141"/>
      <c r="T73" s="141"/>
      <c r="U73" s="68"/>
    </row>
    <row r="74" spans="1:21" s="13" customFormat="1" ht="20.25" customHeight="1">
      <c r="A74" s="129" t="s">
        <v>358</v>
      </c>
      <c r="B74" s="132">
        <v>24</v>
      </c>
      <c r="C74" s="30">
        <v>2401</v>
      </c>
      <c r="D74" s="16">
        <v>2402</v>
      </c>
      <c r="E74" s="15">
        <v>2403</v>
      </c>
      <c r="F74" s="16">
        <v>2404</v>
      </c>
      <c r="G74" s="15">
        <v>2405</v>
      </c>
      <c r="H74" s="16">
        <v>2406</v>
      </c>
      <c r="I74" s="15"/>
      <c r="J74" s="15"/>
      <c r="K74" s="15"/>
      <c r="L74" s="15"/>
      <c r="M74" s="15"/>
      <c r="N74" s="15"/>
      <c r="O74" s="15"/>
      <c r="P74" s="17"/>
      <c r="Q74" s="144">
        <f>COUNTIF(C78:P78,"ห้องว่าง")</f>
        <v>3</v>
      </c>
      <c r="R74" s="138">
        <f t="shared" ref="R74" si="26">COUNTIFS(C78:P78,"จอง")</f>
        <v>0</v>
      </c>
      <c r="S74" s="145">
        <f>COUNTIFS(C78:P78,"โอน")</f>
        <v>3</v>
      </c>
      <c r="T74" s="140">
        <f t="shared" ref="T74" si="27">COUNTIFS(C78:Q78,"ห้องเช่า")</f>
        <v>0</v>
      </c>
      <c r="U74" s="67"/>
    </row>
    <row r="75" spans="1:21" s="13" customFormat="1" ht="20.25" customHeight="1">
      <c r="A75" s="129"/>
      <c r="B75" s="132"/>
      <c r="C75" s="30" t="s">
        <v>241</v>
      </c>
      <c r="D75" s="16" t="s">
        <v>243</v>
      </c>
      <c r="E75" s="15" t="s">
        <v>245</v>
      </c>
      <c r="F75" s="16" t="s">
        <v>247</v>
      </c>
      <c r="G75" s="15" t="s">
        <v>249</v>
      </c>
      <c r="H75" s="16" t="s">
        <v>251</v>
      </c>
      <c r="I75" s="15"/>
      <c r="J75" s="15"/>
      <c r="K75" s="15"/>
      <c r="L75" s="15"/>
      <c r="M75" s="15"/>
      <c r="N75" s="15"/>
      <c r="O75" s="15"/>
      <c r="P75" s="17"/>
      <c r="Q75" s="137"/>
      <c r="R75" s="139"/>
      <c r="S75" s="141"/>
      <c r="T75" s="141"/>
      <c r="U75" s="68"/>
    </row>
    <row r="76" spans="1:21" s="13" customFormat="1" ht="20.25" customHeight="1">
      <c r="A76" s="129"/>
      <c r="B76" s="132"/>
      <c r="C76" s="30">
        <v>34.9</v>
      </c>
      <c r="D76" s="16">
        <v>50</v>
      </c>
      <c r="E76" s="15">
        <v>73</v>
      </c>
      <c r="F76" s="16">
        <v>50</v>
      </c>
      <c r="G76" s="15">
        <v>35.4</v>
      </c>
      <c r="H76" s="16">
        <v>69</v>
      </c>
      <c r="I76" s="15"/>
      <c r="J76" s="15"/>
      <c r="K76" s="15"/>
      <c r="L76" s="15"/>
      <c r="M76" s="15"/>
      <c r="N76" s="15"/>
      <c r="O76" s="15"/>
      <c r="P76" s="17"/>
      <c r="Q76" s="137"/>
      <c r="R76" s="139"/>
      <c r="S76" s="141"/>
      <c r="T76" s="141"/>
      <c r="U76" s="68"/>
    </row>
    <row r="77" spans="1:21" s="13" customFormat="1" ht="20.25" customHeight="1">
      <c r="A77" s="129"/>
      <c r="B77" s="132"/>
      <c r="C77" s="15" t="s">
        <v>531</v>
      </c>
      <c r="D77" s="16"/>
      <c r="E77" s="15" t="s">
        <v>531</v>
      </c>
      <c r="F77" s="16"/>
      <c r="G77" s="15" t="s">
        <v>532</v>
      </c>
      <c r="H77" s="16"/>
      <c r="I77" s="15"/>
      <c r="J77" s="15"/>
      <c r="K77" s="15"/>
      <c r="L77" s="15"/>
      <c r="M77" s="15"/>
      <c r="N77" s="15"/>
      <c r="O77" s="15"/>
      <c r="P77" s="17"/>
      <c r="Q77" s="137"/>
      <c r="R77" s="139"/>
      <c r="S77" s="141"/>
      <c r="T77" s="141"/>
      <c r="U77" s="127"/>
    </row>
    <row r="78" spans="1:21" s="23" customFormat="1" ht="20.25" customHeight="1">
      <c r="A78" s="130"/>
      <c r="B78" s="133"/>
      <c r="C78" s="31" t="s">
        <v>19</v>
      </c>
      <c r="D78" s="20" t="s">
        <v>42</v>
      </c>
      <c r="E78" s="19" t="s">
        <v>19</v>
      </c>
      <c r="F78" s="20" t="s">
        <v>42</v>
      </c>
      <c r="G78" s="19" t="s">
        <v>19</v>
      </c>
      <c r="H78" s="20" t="s">
        <v>42</v>
      </c>
      <c r="I78" s="21"/>
      <c r="J78" s="21"/>
      <c r="K78" s="21"/>
      <c r="L78" s="21"/>
      <c r="M78" s="21"/>
      <c r="N78" s="21"/>
      <c r="O78" s="21"/>
      <c r="P78" s="22"/>
      <c r="Q78" s="137"/>
      <c r="R78" s="139"/>
      <c r="S78" s="141"/>
      <c r="T78" s="141"/>
      <c r="U78" s="68"/>
    </row>
    <row r="79" spans="1:21" s="13" customFormat="1" ht="20.25" customHeight="1">
      <c r="A79" s="142" t="s">
        <v>358</v>
      </c>
      <c r="B79" s="143">
        <v>23</v>
      </c>
      <c r="C79" s="29">
        <v>2301</v>
      </c>
      <c r="D79" s="63">
        <v>2302</v>
      </c>
      <c r="E79" s="26">
        <v>2303</v>
      </c>
      <c r="F79" s="26">
        <v>2304</v>
      </c>
      <c r="G79" s="25">
        <v>2305</v>
      </c>
      <c r="H79" s="94">
        <v>2306</v>
      </c>
      <c r="I79" s="25"/>
      <c r="J79" s="25"/>
      <c r="K79" s="25"/>
      <c r="L79" s="25"/>
      <c r="M79" s="25"/>
      <c r="N79" s="25"/>
      <c r="O79" s="25"/>
      <c r="P79" s="27"/>
      <c r="Q79" s="144">
        <f>COUNTIF(C83:P83,"ห้องว่าง")</f>
        <v>3</v>
      </c>
      <c r="R79" s="138">
        <f t="shared" ref="R79" si="28">COUNTIFS(C83:P83,"จอง")</f>
        <v>0</v>
      </c>
      <c r="S79" s="145">
        <f>COUNTIFS(C83:P83,"โอน")</f>
        <v>3</v>
      </c>
      <c r="T79" s="140">
        <f t="shared" ref="T79" si="29">COUNTIFS(C83:Q83,"ห้องเช่า")</f>
        <v>0</v>
      </c>
      <c r="U79" s="67"/>
    </row>
    <row r="80" spans="1:21" s="13" customFormat="1" ht="20.25" customHeight="1">
      <c r="A80" s="129"/>
      <c r="B80" s="132"/>
      <c r="C80" s="30" t="s">
        <v>241</v>
      </c>
      <c r="D80" s="62" t="s">
        <v>243</v>
      </c>
      <c r="E80" s="16" t="s">
        <v>245</v>
      </c>
      <c r="F80" s="16" t="s">
        <v>247</v>
      </c>
      <c r="G80" s="15" t="s">
        <v>249</v>
      </c>
      <c r="H80" s="95" t="s">
        <v>251</v>
      </c>
      <c r="I80" s="15"/>
      <c r="J80" s="15"/>
      <c r="K80" s="15"/>
      <c r="L80" s="15"/>
      <c r="M80" s="15"/>
      <c r="N80" s="15"/>
      <c r="O80" s="15"/>
      <c r="P80" s="17"/>
      <c r="Q80" s="137"/>
      <c r="R80" s="139"/>
      <c r="S80" s="141"/>
      <c r="T80" s="141"/>
      <c r="U80" s="68"/>
    </row>
    <row r="81" spans="1:21" s="13" customFormat="1" ht="20.25" customHeight="1">
      <c r="A81" s="129"/>
      <c r="B81" s="132"/>
      <c r="C81" s="30">
        <v>34.9</v>
      </c>
      <c r="D81" s="62">
        <v>50</v>
      </c>
      <c r="E81" s="16">
        <v>73</v>
      </c>
      <c r="F81" s="16">
        <v>50</v>
      </c>
      <c r="G81" s="15">
        <v>35.4</v>
      </c>
      <c r="H81" s="95">
        <v>69</v>
      </c>
      <c r="I81" s="15"/>
      <c r="J81" s="15"/>
      <c r="K81" s="15"/>
      <c r="L81" s="15"/>
      <c r="M81" s="15"/>
      <c r="N81" s="15"/>
      <c r="O81" s="15"/>
      <c r="P81" s="17"/>
      <c r="Q81" s="137"/>
      <c r="R81" s="139"/>
      <c r="S81" s="141"/>
      <c r="T81" s="141"/>
      <c r="U81" s="68"/>
    </row>
    <row r="82" spans="1:21" s="13" customFormat="1" ht="20.25" customHeight="1">
      <c r="A82" s="129"/>
      <c r="B82" s="132"/>
      <c r="C82" s="15" t="s">
        <v>530</v>
      </c>
      <c r="D82" s="15" t="s">
        <v>529</v>
      </c>
      <c r="E82" s="16"/>
      <c r="F82" s="16"/>
      <c r="G82" s="15" t="s">
        <v>533</v>
      </c>
      <c r="H82" s="95"/>
      <c r="I82" s="15"/>
      <c r="J82" s="15"/>
      <c r="K82" s="15"/>
      <c r="L82" s="15"/>
      <c r="M82" s="15"/>
      <c r="N82" s="15"/>
      <c r="O82" s="15"/>
      <c r="P82" s="17"/>
      <c r="Q82" s="137"/>
      <c r="R82" s="139"/>
      <c r="S82" s="141"/>
      <c r="T82" s="141"/>
      <c r="U82" s="127"/>
    </row>
    <row r="83" spans="1:21" s="23" customFormat="1" ht="20.25" customHeight="1">
      <c r="A83" s="130"/>
      <c r="B83" s="133"/>
      <c r="C83" s="31" t="s">
        <v>19</v>
      </c>
      <c r="D83" s="19" t="s">
        <v>19</v>
      </c>
      <c r="E83" s="20" t="s">
        <v>42</v>
      </c>
      <c r="F83" s="20" t="s">
        <v>42</v>
      </c>
      <c r="G83" s="19" t="s">
        <v>19</v>
      </c>
      <c r="H83" s="20" t="s">
        <v>42</v>
      </c>
      <c r="I83" s="21"/>
      <c r="J83" s="21"/>
      <c r="K83" s="21"/>
      <c r="L83" s="21"/>
      <c r="M83" s="21"/>
      <c r="N83" s="21"/>
      <c r="O83" s="21"/>
      <c r="P83" s="22"/>
      <c r="Q83" s="137"/>
      <c r="R83" s="139"/>
      <c r="S83" s="141"/>
      <c r="T83" s="141"/>
      <c r="U83" s="68"/>
    </row>
    <row r="84" spans="1:21" s="13" customFormat="1" ht="20.25" customHeight="1">
      <c r="A84" s="142" t="s">
        <v>358</v>
      </c>
      <c r="B84" s="143">
        <v>22</v>
      </c>
      <c r="C84" s="24">
        <v>2201</v>
      </c>
      <c r="D84" s="26">
        <v>2202</v>
      </c>
      <c r="E84" s="26">
        <v>2203</v>
      </c>
      <c r="F84" s="37">
        <v>2204</v>
      </c>
      <c r="G84" s="25">
        <v>2205</v>
      </c>
      <c r="H84" s="37">
        <v>2206</v>
      </c>
      <c r="I84" s="25"/>
      <c r="J84" s="25"/>
      <c r="K84" s="25"/>
      <c r="L84" s="25"/>
      <c r="M84" s="25"/>
      <c r="N84" s="25"/>
      <c r="O84" s="25"/>
      <c r="P84" s="27"/>
      <c r="Q84" s="144">
        <f>COUNTIF(C88:P88,"ห้องว่าง")</f>
        <v>3</v>
      </c>
      <c r="R84" s="138">
        <f t="shared" ref="R84" si="30">COUNTIFS(C88:P88,"จอง")</f>
        <v>0</v>
      </c>
      <c r="S84" s="145">
        <f>COUNTIFS(C88:P88,"โอน")</f>
        <v>3</v>
      </c>
      <c r="T84" s="140">
        <f t="shared" ref="T84" si="31">COUNTIFS(C88:Q88,"ห้องเช่า")</f>
        <v>0</v>
      </c>
      <c r="U84" s="67"/>
    </row>
    <row r="85" spans="1:21" s="13" customFormat="1" ht="20.25" customHeight="1">
      <c r="A85" s="129"/>
      <c r="B85" s="132"/>
      <c r="C85" s="14" t="s">
        <v>241</v>
      </c>
      <c r="D85" s="16" t="s">
        <v>243</v>
      </c>
      <c r="E85" s="16" t="s">
        <v>245</v>
      </c>
      <c r="F85" s="38" t="s">
        <v>247</v>
      </c>
      <c r="G85" s="15" t="s">
        <v>249</v>
      </c>
      <c r="H85" s="38" t="s">
        <v>251</v>
      </c>
      <c r="I85" s="15"/>
      <c r="J85" s="15"/>
      <c r="K85" s="15"/>
      <c r="L85" s="15"/>
      <c r="M85" s="15"/>
      <c r="N85" s="15"/>
      <c r="O85" s="15"/>
      <c r="P85" s="17"/>
      <c r="Q85" s="137"/>
      <c r="R85" s="139"/>
      <c r="S85" s="141"/>
      <c r="T85" s="141"/>
      <c r="U85" s="68"/>
    </row>
    <row r="86" spans="1:21" s="13" customFormat="1" ht="20.25" customHeight="1">
      <c r="A86" s="129"/>
      <c r="B86" s="132"/>
      <c r="C86" s="14">
        <v>34.9</v>
      </c>
      <c r="D86" s="16">
        <v>50</v>
      </c>
      <c r="E86" s="16">
        <v>73</v>
      </c>
      <c r="F86" s="38">
        <v>50</v>
      </c>
      <c r="G86" s="15">
        <v>35.4</v>
      </c>
      <c r="H86" s="38">
        <v>69</v>
      </c>
      <c r="I86" s="15"/>
      <c r="J86" s="15"/>
      <c r="K86" s="15"/>
      <c r="L86" s="15"/>
      <c r="M86" s="15"/>
      <c r="N86" s="15"/>
      <c r="O86" s="15"/>
      <c r="P86" s="17"/>
      <c r="Q86" s="137"/>
      <c r="R86" s="139"/>
      <c r="S86" s="141"/>
      <c r="T86" s="141"/>
      <c r="U86" s="68"/>
    </row>
    <row r="87" spans="1:21" s="13" customFormat="1" ht="20.25" customHeight="1">
      <c r="A87" s="129"/>
      <c r="B87" s="132"/>
      <c r="C87" s="14"/>
      <c r="D87" s="16"/>
      <c r="E87" s="16"/>
      <c r="F87" s="15" t="s">
        <v>529</v>
      </c>
      <c r="G87" s="15" t="s">
        <v>532</v>
      </c>
      <c r="H87" s="15" t="s">
        <v>529</v>
      </c>
      <c r="I87" s="15"/>
      <c r="J87" s="15"/>
      <c r="K87" s="15"/>
      <c r="L87" s="15"/>
      <c r="M87" s="15"/>
      <c r="N87" s="15"/>
      <c r="O87" s="15"/>
      <c r="P87" s="17"/>
      <c r="Q87" s="137"/>
      <c r="R87" s="139"/>
      <c r="S87" s="141"/>
      <c r="T87" s="141"/>
      <c r="U87" s="127"/>
    </row>
    <row r="88" spans="1:21" s="23" customFormat="1" ht="20.25" customHeight="1">
      <c r="A88" s="130"/>
      <c r="B88" s="133"/>
      <c r="C88" s="28" t="s">
        <v>42</v>
      </c>
      <c r="D88" s="20" t="s">
        <v>42</v>
      </c>
      <c r="E88" s="20" t="s">
        <v>42</v>
      </c>
      <c r="F88" s="39" t="s">
        <v>19</v>
      </c>
      <c r="G88" s="19" t="s">
        <v>19</v>
      </c>
      <c r="H88" s="39" t="s">
        <v>19</v>
      </c>
      <c r="I88" s="21"/>
      <c r="J88" s="21"/>
      <c r="K88" s="21"/>
      <c r="L88" s="21"/>
      <c r="M88" s="21"/>
      <c r="N88" s="21"/>
      <c r="O88" s="21"/>
      <c r="P88" s="22"/>
      <c r="Q88" s="137"/>
      <c r="R88" s="139"/>
      <c r="S88" s="141"/>
      <c r="T88" s="141"/>
      <c r="U88" s="68"/>
    </row>
    <row r="89" spans="1:21" s="13" customFormat="1" ht="20.25" customHeight="1">
      <c r="A89" s="142" t="s">
        <v>358</v>
      </c>
      <c r="B89" s="143">
        <v>21</v>
      </c>
      <c r="C89" s="24">
        <v>2101</v>
      </c>
      <c r="D89" s="26">
        <v>2102</v>
      </c>
      <c r="E89" s="26">
        <v>2103</v>
      </c>
      <c r="F89" s="25">
        <v>2104</v>
      </c>
      <c r="G89" s="25">
        <v>2105</v>
      </c>
      <c r="H89" s="26">
        <v>2106</v>
      </c>
      <c r="I89" s="26">
        <v>2107</v>
      </c>
      <c r="J89" s="25"/>
      <c r="K89" s="25"/>
      <c r="L89" s="25"/>
      <c r="M89" s="25"/>
      <c r="N89" s="25"/>
      <c r="O89" s="25"/>
      <c r="P89" s="27"/>
      <c r="Q89" s="144">
        <f>COUNTIF(C93:P93,"ห้องว่าง")</f>
        <v>2</v>
      </c>
      <c r="R89" s="138">
        <f t="shared" ref="R89" si="32">COUNTIFS(C93:P93,"จอง")</f>
        <v>0</v>
      </c>
      <c r="S89" s="145">
        <f>COUNTIFS(C93:P93,"โอน")</f>
        <v>5</v>
      </c>
      <c r="T89" s="140">
        <f>COUNTIFS(C93:Q93,"ห้องเช่า")</f>
        <v>0</v>
      </c>
      <c r="U89" s="67"/>
    </row>
    <row r="90" spans="1:21" s="13" customFormat="1" ht="20.25" customHeight="1">
      <c r="A90" s="129"/>
      <c r="B90" s="132"/>
      <c r="C90" s="14" t="s">
        <v>15</v>
      </c>
      <c r="D90" s="16" t="s">
        <v>18</v>
      </c>
      <c r="E90" s="16" t="s">
        <v>21</v>
      </c>
      <c r="F90" s="15" t="s">
        <v>21</v>
      </c>
      <c r="G90" s="15" t="s">
        <v>24</v>
      </c>
      <c r="H90" s="16" t="s">
        <v>26</v>
      </c>
      <c r="I90" s="16" t="s">
        <v>239</v>
      </c>
      <c r="J90" s="15"/>
      <c r="K90" s="15"/>
      <c r="L90" s="15"/>
      <c r="M90" s="15"/>
      <c r="N90" s="15"/>
      <c r="O90" s="15"/>
      <c r="P90" s="17"/>
      <c r="Q90" s="137"/>
      <c r="R90" s="139"/>
      <c r="S90" s="141"/>
      <c r="T90" s="141"/>
      <c r="U90" s="68"/>
    </row>
    <row r="91" spans="1:21" s="13" customFormat="1" ht="20.25" customHeight="1">
      <c r="A91" s="129"/>
      <c r="B91" s="132"/>
      <c r="C91" s="14">
        <v>34.9</v>
      </c>
      <c r="D91" s="16">
        <v>33.700000000000003</v>
      </c>
      <c r="E91" s="16">
        <v>34.9</v>
      </c>
      <c r="F91" s="15">
        <v>34.9</v>
      </c>
      <c r="G91" s="15">
        <v>34.9</v>
      </c>
      <c r="H91" s="16">
        <v>33.700000000000003</v>
      </c>
      <c r="I91" s="16">
        <v>35.5</v>
      </c>
      <c r="J91" s="15"/>
      <c r="K91" s="15"/>
      <c r="L91" s="15"/>
      <c r="M91" s="15"/>
      <c r="N91" s="15"/>
      <c r="O91" s="15"/>
      <c r="P91" s="17"/>
      <c r="Q91" s="137"/>
      <c r="R91" s="139"/>
      <c r="S91" s="141"/>
      <c r="T91" s="141"/>
      <c r="U91" s="68"/>
    </row>
    <row r="92" spans="1:21" s="13" customFormat="1" ht="20.25" customHeight="1">
      <c r="A92" s="129"/>
      <c r="B92" s="132"/>
      <c r="C92" s="14"/>
      <c r="D92" s="16"/>
      <c r="E92" s="16"/>
      <c r="F92" s="15" t="s">
        <v>529</v>
      </c>
      <c r="G92" s="15" t="s">
        <v>532</v>
      </c>
      <c r="H92" s="16"/>
      <c r="I92" s="16"/>
      <c r="J92" s="15"/>
      <c r="K92" s="15"/>
      <c r="L92" s="15"/>
      <c r="M92" s="15"/>
      <c r="N92" s="15"/>
      <c r="O92" s="15"/>
      <c r="P92" s="17"/>
      <c r="Q92" s="137"/>
      <c r="R92" s="139"/>
      <c r="S92" s="141"/>
      <c r="T92" s="141"/>
      <c r="U92" s="127"/>
    </row>
    <row r="93" spans="1:21" s="23" customFormat="1" ht="20.25" customHeight="1">
      <c r="A93" s="130"/>
      <c r="B93" s="133"/>
      <c r="C93" s="28" t="s">
        <v>42</v>
      </c>
      <c r="D93" s="20" t="s">
        <v>42</v>
      </c>
      <c r="E93" s="20" t="s">
        <v>42</v>
      </c>
      <c r="F93" s="19" t="s">
        <v>19</v>
      </c>
      <c r="G93" s="19" t="s">
        <v>19</v>
      </c>
      <c r="H93" s="20" t="s">
        <v>42</v>
      </c>
      <c r="I93" s="20" t="s">
        <v>42</v>
      </c>
      <c r="J93" s="21"/>
      <c r="K93" s="21"/>
      <c r="L93" s="21"/>
      <c r="M93" s="21"/>
      <c r="N93" s="21"/>
      <c r="O93" s="21"/>
      <c r="P93" s="22"/>
      <c r="Q93" s="137"/>
      <c r="R93" s="139"/>
      <c r="S93" s="141"/>
      <c r="T93" s="141"/>
      <c r="U93" s="68"/>
    </row>
    <row r="94" spans="1:21" s="13" customFormat="1" ht="7.5" customHeight="1">
      <c r="A94" s="142" t="s">
        <v>362</v>
      </c>
      <c r="B94" s="143">
        <v>20</v>
      </c>
      <c r="C94" s="40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2"/>
      <c r="Q94" s="146"/>
      <c r="R94" s="147"/>
      <c r="S94" s="147"/>
      <c r="T94" s="147"/>
      <c r="U94" s="69"/>
    </row>
    <row r="95" spans="1:21" s="13" customFormat="1" ht="7.5" customHeight="1">
      <c r="A95" s="129"/>
      <c r="B95" s="132"/>
      <c r="C95" s="43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5"/>
      <c r="Q95" s="132"/>
      <c r="R95" s="148"/>
      <c r="S95" s="148"/>
      <c r="T95" s="148"/>
      <c r="U95" s="70"/>
    </row>
    <row r="96" spans="1:21" s="23" customFormat="1" ht="7.5" customHeight="1">
      <c r="A96" s="130"/>
      <c r="B96" s="133"/>
      <c r="C96" s="46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8"/>
      <c r="Q96" s="132"/>
      <c r="R96" s="148"/>
      <c r="S96" s="148"/>
      <c r="T96" s="148"/>
      <c r="U96" s="70"/>
    </row>
    <row r="97" spans="1:21" s="13" customFormat="1" ht="7.5" customHeight="1">
      <c r="A97" s="142" t="s">
        <v>362</v>
      </c>
      <c r="B97" s="143">
        <v>19</v>
      </c>
      <c r="C97" s="40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2"/>
      <c r="Q97" s="132"/>
      <c r="R97" s="148"/>
      <c r="S97" s="148"/>
      <c r="T97" s="148"/>
      <c r="U97" s="70"/>
    </row>
    <row r="98" spans="1:21" s="13" customFormat="1" ht="7.5" customHeight="1">
      <c r="A98" s="129"/>
      <c r="B98" s="132"/>
      <c r="C98" s="43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5"/>
      <c r="Q98" s="132"/>
      <c r="R98" s="148"/>
      <c r="S98" s="148"/>
      <c r="T98" s="148"/>
      <c r="U98" s="70"/>
    </row>
    <row r="99" spans="1:21" s="23" customFormat="1" ht="7.5" customHeight="1">
      <c r="A99" s="130"/>
      <c r="B99" s="133"/>
      <c r="C99" s="46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8"/>
      <c r="Q99" s="149"/>
      <c r="R99" s="150"/>
      <c r="S99" s="150"/>
      <c r="T99" s="150"/>
      <c r="U99" s="71"/>
    </row>
    <row r="100" spans="1:21" s="13" customFormat="1" ht="20.25" customHeight="1">
      <c r="A100" s="129" t="s">
        <v>358</v>
      </c>
      <c r="B100" s="132">
        <v>18</v>
      </c>
      <c r="C100" s="29">
        <v>1801</v>
      </c>
      <c r="D100" s="26">
        <v>1802</v>
      </c>
      <c r="E100" s="25">
        <v>1803</v>
      </c>
      <c r="F100" s="25">
        <v>1804</v>
      </c>
      <c r="G100" s="26">
        <v>1805</v>
      </c>
      <c r="H100" s="26">
        <v>1806</v>
      </c>
      <c r="I100" s="26">
        <v>1807</v>
      </c>
      <c r="J100" s="26">
        <v>1808</v>
      </c>
      <c r="K100" s="25">
        <v>1809</v>
      </c>
      <c r="L100" s="25">
        <v>1810</v>
      </c>
      <c r="M100" s="25"/>
      <c r="N100" s="25"/>
      <c r="O100" s="25"/>
      <c r="P100" s="27"/>
      <c r="Q100" s="144">
        <f>COUNTIF(C104:P104,"ห้องว่าง")</f>
        <v>5</v>
      </c>
      <c r="R100" s="138">
        <f t="shared" ref="R100" si="33">COUNTIFS(C104:P104,"จอง")</f>
        <v>0</v>
      </c>
      <c r="S100" s="145">
        <f>COUNTIFS(C104:P104,"โอน")</f>
        <v>5</v>
      </c>
      <c r="T100" s="140">
        <f>COUNTIFS(C104:Q104,"ห้องเช่า")</f>
        <v>0</v>
      </c>
      <c r="U100" s="67"/>
    </row>
    <row r="101" spans="1:21" s="13" customFormat="1" ht="20.25" customHeight="1">
      <c r="A101" s="129"/>
      <c r="B101" s="132"/>
      <c r="C101" s="30" t="s">
        <v>15</v>
      </c>
      <c r="D101" s="16" t="s">
        <v>18</v>
      </c>
      <c r="E101" s="15" t="s">
        <v>21</v>
      </c>
      <c r="F101" s="15" t="s">
        <v>21</v>
      </c>
      <c r="G101" s="16" t="s">
        <v>24</v>
      </c>
      <c r="H101" s="16" t="s">
        <v>26</v>
      </c>
      <c r="I101" s="16" t="s">
        <v>28</v>
      </c>
      <c r="J101" s="16" t="s">
        <v>30</v>
      </c>
      <c r="K101" s="15" t="s">
        <v>28</v>
      </c>
      <c r="L101" s="15" t="s">
        <v>33</v>
      </c>
      <c r="M101" s="15"/>
      <c r="N101" s="15"/>
      <c r="O101" s="15"/>
      <c r="P101" s="17"/>
      <c r="Q101" s="137"/>
      <c r="R101" s="139"/>
      <c r="S101" s="141"/>
      <c r="T101" s="141"/>
      <c r="U101" s="68"/>
    </row>
    <row r="102" spans="1:21" s="13" customFormat="1" ht="20.25" customHeight="1">
      <c r="A102" s="129"/>
      <c r="B102" s="132"/>
      <c r="C102" s="30">
        <v>34.9</v>
      </c>
      <c r="D102" s="16">
        <v>33.700000000000003</v>
      </c>
      <c r="E102" s="15">
        <v>34.9</v>
      </c>
      <c r="F102" s="15">
        <v>34.9</v>
      </c>
      <c r="G102" s="16">
        <v>34.9</v>
      </c>
      <c r="H102" s="16">
        <v>33.700000000000003</v>
      </c>
      <c r="I102" s="16">
        <v>34.9</v>
      </c>
      <c r="J102" s="16">
        <v>30</v>
      </c>
      <c r="K102" s="15">
        <v>34.9</v>
      </c>
      <c r="L102" s="15">
        <v>34.799999999999997</v>
      </c>
      <c r="M102" s="15"/>
      <c r="N102" s="15"/>
      <c r="O102" s="15"/>
      <c r="P102" s="17"/>
      <c r="Q102" s="137"/>
      <c r="R102" s="139"/>
      <c r="S102" s="141"/>
      <c r="T102" s="141"/>
      <c r="U102" s="68"/>
    </row>
    <row r="103" spans="1:21" s="13" customFormat="1" ht="20.25" customHeight="1">
      <c r="A103" s="129"/>
      <c r="B103" s="132"/>
      <c r="C103" s="15" t="s">
        <v>529</v>
      </c>
      <c r="D103" s="16"/>
      <c r="E103" s="15" t="s">
        <v>529</v>
      </c>
      <c r="F103" s="15" t="s">
        <v>529</v>
      </c>
      <c r="G103" s="16"/>
      <c r="H103" s="16"/>
      <c r="I103" s="16"/>
      <c r="J103" s="16"/>
      <c r="K103" s="15" t="s">
        <v>529</v>
      </c>
      <c r="L103" s="15" t="s">
        <v>529</v>
      </c>
      <c r="M103" s="15"/>
      <c r="N103" s="15"/>
      <c r="O103" s="15"/>
      <c r="P103" s="17"/>
      <c r="Q103" s="137"/>
      <c r="R103" s="139"/>
      <c r="S103" s="141"/>
      <c r="T103" s="141"/>
      <c r="U103" s="127"/>
    </row>
    <row r="104" spans="1:21" s="23" customFormat="1" ht="20.25" customHeight="1">
      <c r="A104" s="130"/>
      <c r="B104" s="133"/>
      <c r="C104" s="31" t="s">
        <v>19</v>
      </c>
      <c r="D104" s="20" t="s">
        <v>42</v>
      </c>
      <c r="E104" s="19" t="s">
        <v>19</v>
      </c>
      <c r="F104" s="19" t="s">
        <v>19</v>
      </c>
      <c r="G104" s="20" t="s">
        <v>42</v>
      </c>
      <c r="H104" s="20" t="s">
        <v>42</v>
      </c>
      <c r="I104" s="20" t="s">
        <v>42</v>
      </c>
      <c r="J104" s="20" t="s">
        <v>42</v>
      </c>
      <c r="K104" s="19" t="s">
        <v>19</v>
      </c>
      <c r="L104" s="19" t="s">
        <v>19</v>
      </c>
      <c r="M104" s="21"/>
      <c r="N104" s="21"/>
      <c r="O104" s="21"/>
      <c r="P104" s="22"/>
      <c r="Q104" s="137"/>
      <c r="R104" s="139"/>
      <c r="S104" s="141"/>
      <c r="T104" s="141"/>
      <c r="U104" s="68"/>
    </row>
    <row r="105" spans="1:21" s="13" customFormat="1" ht="20.25" customHeight="1">
      <c r="A105" s="142" t="s">
        <v>361</v>
      </c>
      <c r="B105" s="143">
        <v>17</v>
      </c>
      <c r="C105" s="24">
        <v>1701</v>
      </c>
      <c r="D105" s="26">
        <v>1702</v>
      </c>
      <c r="E105" s="26">
        <v>1703</v>
      </c>
      <c r="F105" s="26">
        <v>1704</v>
      </c>
      <c r="G105" s="26">
        <v>1705</v>
      </c>
      <c r="H105" s="26">
        <v>1706</v>
      </c>
      <c r="I105" s="78">
        <v>1707</v>
      </c>
      <c r="J105" s="78">
        <v>1708</v>
      </c>
      <c r="K105" s="78">
        <v>1709</v>
      </c>
      <c r="L105" s="26">
        <v>1710</v>
      </c>
      <c r="M105" s="25"/>
      <c r="N105" s="25"/>
      <c r="O105" s="25"/>
      <c r="P105" s="27"/>
      <c r="Q105" s="144">
        <f>COUNTIF(C109:P109,"ห้องว่าง")</f>
        <v>0</v>
      </c>
      <c r="R105" s="138">
        <f t="shared" ref="R105" si="34">COUNTIFS(C109:P109,"จอง")</f>
        <v>0</v>
      </c>
      <c r="S105" s="145">
        <f>COUNTIFS(C109:P109,"โอน")</f>
        <v>10</v>
      </c>
      <c r="T105" s="140">
        <f t="shared" ref="T105" si="35">COUNTIFS(C109:Q109,"ห้องเช่า")</f>
        <v>0</v>
      </c>
      <c r="U105" s="67"/>
    </row>
    <row r="106" spans="1:21" s="13" customFormat="1" ht="20.25" customHeight="1">
      <c r="A106" s="129"/>
      <c r="B106" s="132"/>
      <c r="C106" s="14" t="s">
        <v>15</v>
      </c>
      <c r="D106" s="16" t="s">
        <v>18</v>
      </c>
      <c r="E106" s="16" t="s">
        <v>21</v>
      </c>
      <c r="F106" s="16" t="s">
        <v>21</v>
      </c>
      <c r="G106" s="16" t="s">
        <v>24</v>
      </c>
      <c r="H106" s="16" t="s">
        <v>26</v>
      </c>
      <c r="I106" s="79" t="s">
        <v>28</v>
      </c>
      <c r="J106" s="79" t="s">
        <v>30</v>
      </c>
      <c r="K106" s="79" t="s">
        <v>28</v>
      </c>
      <c r="L106" s="16" t="s">
        <v>33</v>
      </c>
      <c r="M106" s="15"/>
      <c r="N106" s="15"/>
      <c r="O106" s="15"/>
      <c r="P106" s="17"/>
      <c r="Q106" s="137"/>
      <c r="R106" s="139"/>
      <c r="S106" s="141"/>
      <c r="T106" s="141"/>
      <c r="U106" s="68"/>
    </row>
    <row r="107" spans="1:21" s="13" customFormat="1" ht="20.25" customHeight="1">
      <c r="A107" s="129"/>
      <c r="B107" s="132"/>
      <c r="C107" s="14">
        <v>34.9</v>
      </c>
      <c r="D107" s="16">
        <v>33.700000000000003</v>
      </c>
      <c r="E107" s="16">
        <v>34.9</v>
      </c>
      <c r="F107" s="16">
        <v>34.9</v>
      </c>
      <c r="G107" s="16">
        <v>34.9</v>
      </c>
      <c r="H107" s="16">
        <v>33.700000000000003</v>
      </c>
      <c r="I107" s="79">
        <v>34.9</v>
      </c>
      <c r="J107" s="79">
        <v>30</v>
      </c>
      <c r="K107" s="79">
        <v>34.9</v>
      </c>
      <c r="L107" s="16">
        <v>34.799999999999997</v>
      </c>
      <c r="M107" s="15"/>
      <c r="N107" s="15"/>
      <c r="O107" s="15"/>
      <c r="P107" s="17"/>
      <c r="Q107" s="137"/>
      <c r="R107" s="139"/>
      <c r="S107" s="141"/>
      <c r="T107" s="141"/>
      <c r="U107" s="68"/>
    </row>
    <row r="108" spans="1:21" s="13" customFormat="1" ht="20.25" customHeight="1">
      <c r="A108" s="129"/>
      <c r="B108" s="132"/>
      <c r="C108" s="14"/>
      <c r="D108" s="16"/>
      <c r="E108" s="16"/>
      <c r="F108" s="16"/>
      <c r="G108" s="16"/>
      <c r="H108" s="16"/>
      <c r="I108" s="79"/>
      <c r="J108" s="79"/>
      <c r="K108" s="79"/>
      <c r="L108" s="16"/>
      <c r="M108" s="15"/>
      <c r="N108" s="15"/>
      <c r="O108" s="15"/>
      <c r="P108" s="17"/>
      <c r="Q108" s="137"/>
      <c r="R108" s="139"/>
      <c r="S108" s="141"/>
      <c r="T108" s="141"/>
      <c r="U108" s="127"/>
    </row>
    <row r="109" spans="1:21" s="23" customFormat="1" ht="20.25" customHeight="1">
      <c r="A109" s="130"/>
      <c r="B109" s="133"/>
      <c r="C109" s="28" t="s">
        <v>42</v>
      </c>
      <c r="D109" s="20" t="s">
        <v>42</v>
      </c>
      <c r="E109" s="20" t="s">
        <v>42</v>
      </c>
      <c r="F109" s="20" t="s">
        <v>42</v>
      </c>
      <c r="G109" s="20" t="s">
        <v>42</v>
      </c>
      <c r="H109" s="20" t="s">
        <v>42</v>
      </c>
      <c r="I109" s="80" t="s">
        <v>42</v>
      </c>
      <c r="J109" s="80" t="s">
        <v>42</v>
      </c>
      <c r="K109" s="80" t="s">
        <v>42</v>
      </c>
      <c r="L109" s="20" t="s">
        <v>42</v>
      </c>
      <c r="M109" s="21"/>
      <c r="N109" s="21"/>
      <c r="O109" s="21"/>
      <c r="P109" s="22"/>
      <c r="Q109" s="137"/>
      <c r="R109" s="139"/>
      <c r="S109" s="141"/>
      <c r="T109" s="141"/>
      <c r="U109" s="68"/>
    </row>
    <row r="110" spans="1:21" s="13" customFormat="1" ht="20.25" customHeight="1">
      <c r="A110" s="142" t="s">
        <v>361</v>
      </c>
      <c r="B110" s="151">
        <v>16</v>
      </c>
      <c r="C110" s="24">
        <v>1601</v>
      </c>
      <c r="D110" s="26">
        <v>1602</v>
      </c>
      <c r="E110" s="49">
        <v>1603</v>
      </c>
      <c r="F110" s="26">
        <v>1604</v>
      </c>
      <c r="G110" s="26">
        <v>1605</v>
      </c>
      <c r="H110" s="37">
        <v>1606</v>
      </c>
      <c r="I110" s="26">
        <v>1607</v>
      </c>
      <c r="J110" s="26">
        <v>1608</v>
      </c>
      <c r="K110" s="26">
        <v>1609</v>
      </c>
      <c r="L110" s="26">
        <v>1610</v>
      </c>
      <c r="M110" s="25"/>
      <c r="N110" s="25"/>
      <c r="O110" s="25"/>
      <c r="P110" s="27"/>
      <c r="Q110" s="144">
        <f>COUNTIF(C114:P114,"ห้องว่าง")</f>
        <v>1</v>
      </c>
      <c r="R110" s="138">
        <f>COUNTIFS(C114:P114,"จอง")</f>
        <v>0</v>
      </c>
      <c r="S110" s="145">
        <f>COUNTIFS(C114:P114,"โอน")</f>
        <v>9</v>
      </c>
      <c r="T110" s="140">
        <f t="shared" ref="T110" si="36">COUNTIFS(C114:Q114,"ห้องเช่า")</f>
        <v>0</v>
      </c>
      <c r="U110" s="67"/>
    </row>
    <row r="111" spans="1:21" s="13" customFormat="1" ht="20.25" customHeight="1">
      <c r="A111" s="129"/>
      <c r="B111" s="152"/>
      <c r="C111" s="14" t="s">
        <v>15</v>
      </c>
      <c r="D111" s="16" t="s">
        <v>18</v>
      </c>
      <c r="E111" s="50" t="s">
        <v>21</v>
      </c>
      <c r="F111" s="16" t="s">
        <v>21</v>
      </c>
      <c r="G111" s="16" t="s">
        <v>24</v>
      </c>
      <c r="H111" s="38" t="s">
        <v>26</v>
      </c>
      <c r="I111" s="16" t="s">
        <v>28</v>
      </c>
      <c r="J111" s="16" t="s">
        <v>30</v>
      </c>
      <c r="K111" s="16" t="s">
        <v>28</v>
      </c>
      <c r="L111" s="16" t="s">
        <v>33</v>
      </c>
      <c r="M111" s="15"/>
      <c r="N111" s="15"/>
      <c r="O111" s="15"/>
      <c r="P111" s="17"/>
      <c r="Q111" s="137"/>
      <c r="R111" s="139"/>
      <c r="S111" s="141"/>
      <c r="T111" s="141"/>
      <c r="U111" s="68"/>
    </row>
    <row r="112" spans="1:21" s="13" customFormat="1" ht="20.25" customHeight="1">
      <c r="A112" s="129"/>
      <c r="B112" s="152"/>
      <c r="C112" s="14">
        <v>34.9</v>
      </c>
      <c r="D112" s="16">
        <v>33.700000000000003</v>
      </c>
      <c r="E112" s="50">
        <v>34.9</v>
      </c>
      <c r="F112" s="16">
        <v>34.9</v>
      </c>
      <c r="G112" s="16">
        <v>34.9</v>
      </c>
      <c r="H112" s="38">
        <v>33.700000000000003</v>
      </c>
      <c r="I112" s="16">
        <v>34.9</v>
      </c>
      <c r="J112" s="16">
        <v>30</v>
      </c>
      <c r="K112" s="16">
        <v>34.9</v>
      </c>
      <c r="L112" s="16">
        <v>34.799999999999997</v>
      </c>
      <c r="M112" s="15"/>
      <c r="N112" s="15"/>
      <c r="O112" s="15"/>
      <c r="P112" s="17"/>
      <c r="Q112" s="137"/>
      <c r="R112" s="139"/>
      <c r="S112" s="141"/>
      <c r="T112" s="141"/>
      <c r="U112" s="68"/>
    </row>
    <row r="113" spans="1:21" s="13" customFormat="1" ht="20.25" customHeight="1">
      <c r="A113" s="129"/>
      <c r="B113" s="152"/>
      <c r="C113" s="14"/>
      <c r="D113" s="16"/>
      <c r="E113" s="50"/>
      <c r="F113" s="16"/>
      <c r="G113" s="16"/>
      <c r="H113" s="15" t="s">
        <v>530</v>
      </c>
      <c r="I113" s="16"/>
      <c r="J113" s="16"/>
      <c r="K113" s="16"/>
      <c r="L113" s="16"/>
      <c r="M113" s="15"/>
      <c r="N113" s="15"/>
      <c r="O113" s="15"/>
      <c r="P113" s="17"/>
      <c r="Q113" s="137"/>
      <c r="R113" s="139"/>
      <c r="S113" s="141"/>
      <c r="T113" s="141"/>
      <c r="U113" s="127"/>
    </row>
    <row r="114" spans="1:21" s="23" customFormat="1" ht="20.25" customHeight="1">
      <c r="A114" s="130"/>
      <c r="B114" s="153"/>
      <c r="C114" s="28" t="s">
        <v>42</v>
      </c>
      <c r="D114" s="20" t="s">
        <v>42</v>
      </c>
      <c r="E114" s="51" t="s">
        <v>42</v>
      </c>
      <c r="F114" s="20" t="s">
        <v>42</v>
      </c>
      <c r="G114" s="20" t="s">
        <v>42</v>
      </c>
      <c r="H114" s="39" t="s">
        <v>19</v>
      </c>
      <c r="I114" s="20" t="s">
        <v>42</v>
      </c>
      <c r="J114" s="20" t="s">
        <v>42</v>
      </c>
      <c r="K114" s="20" t="s">
        <v>42</v>
      </c>
      <c r="L114" s="20" t="s">
        <v>42</v>
      </c>
      <c r="M114" s="21"/>
      <c r="N114" s="21"/>
      <c r="O114" s="21"/>
      <c r="P114" s="22"/>
      <c r="Q114" s="137"/>
      <c r="R114" s="139"/>
      <c r="S114" s="141"/>
      <c r="T114" s="141"/>
      <c r="U114" s="68"/>
    </row>
    <row r="115" spans="1:21" s="13" customFormat="1" ht="20.25" customHeight="1">
      <c r="A115" s="142" t="s">
        <v>358</v>
      </c>
      <c r="B115" s="143">
        <v>15</v>
      </c>
      <c r="C115" s="24">
        <v>1501</v>
      </c>
      <c r="D115" s="26">
        <v>1502</v>
      </c>
      <c r="E115" s="26">
        <v>1503</v>
      </c>
      <c r="F115" s="26">
        <v>1504</v>
      </c>
      <c r="G115" s="26">
        <v>1505</v>
      </c>
      <c r="H115" s="26">
        <v>1506</v>
      </c>
      <c r="I115" s="26">
        <v>1507</v>
      </c>
      <c r="J115" s="26">
        <v>1508</v>
      </c>
      <c r="K115" s="26">
        <v>1509</v>
      </c>
      <c r="L115" s="26">
        <v>1510</v>
      </c>
      <c r="M115" s="26">
        <v>1511</v>
      </c>
      <c r="N115" s="25"/>
      <c r="O115" s="25"/>
      <c r="P115" s="27"/>
      <c r="Q115" s="144">
        <f>COUNTIF(C119:P119,"ห้องว่าง")</f>
        <v>0</v>
      </c>
      <c r="R115" s="138">
        <f>COUNTIFS(C119:P119,"จอง")</f>
        <v>0</v>
      </c>
      <c r="S115" s="145">
        <f>COUNTIFS(C119:P119,"โอน")</f>
        <v>11</v>
      </c>
      <c r="T115" s="140">
        <f t="shared" ref="T115" si="37">COUNTIFS(C119:Q119,"ห้องเช่า")</f>
        <v>0</v>
      </c>
      <c r="U115" s="67"/>
    </row>
    <row r="116" spans="1:21" s="13" customFormat="1" ht="20.25" customHeight="1">
      <c r="A116" s="129"/>
      <c r="B116" s="132"/>
      <c r="C116" s="14" t="s">
        <v>15</v>
      </c>
      <c r="D116" s="16" t="s">
        <v>18</v>
      </c>
      <c r="E116" s="16" t="s">
        <v>21</v>
      </c>
      <c r="F116" s="16" t="s">
        <v>21</v>
      </c>
      <c r="G116" s="16" t="s">
        <v>24</v>
      </c>
      <c r="H116" s="16" t="s">
        <v>26</v>
      </c>
      <c r="I116" s="16" t="s">
        <v>28</v>
      </c>
      <c r="J116" s="16" t="s">
        <v>30</v>
      </c>
      <c r="K116" s="16" t="s">
        <v>28</v>
      </c>
      <c r="L116" s="16" t="s">
        <v>33</v>
      </c>
      <c r="M116" s="16" t="s">
        <v>201</v>
      </c>
      <c r="N116" s="15"/>
      <c r="O116" s="15"/>
      <c r="P116" s="17"/>
      <c r="Q116" s="137"/>
      <c r="R116" s="139"/>
      <c r="S116" s="141"/>
      <c r="T116" s="141"/>
      <c r="U116" s="68"/>
    </row>
    <row r="117" spans="1:21" s="13" customFormat="1" ht="20.25" customHeight="1">
      <c r="A117" s="129"/>
      <c r="B117" s="132"/>
      <c r="C117" s="14">
        <v>34.9</v>
      </c>
      <c r="D117" s="16">
        <v>33.700000000000003</v>
      </c>
      <c r="E117" s="16">
        <v>34.9</v>
      </c>
      <c r="F117" s="16">
        <v>34.9</v>
      </c>
      <c r="G117" s="16">
        <v>34.9</v>
      </c>
      <c r="H117" s="16">
        <v>33.700000000000003</v>
      </c>
      <c r="I117" s="16">
        <v>34.9</v>
      </c>
      <c r="J117" s="16">
        <v>30</v>
      </c>
      <c r="K117" s="16">
        <v>34.9</v>
      </c>
      <c r="L117" s="16">
        <v>34.799999999999997</v>
      </c>
      <c r="M117" s="16">
        <v>41.5</v>
      </c>
      <c r="N117" s="15"/>
      <c r="O117" s="15"/>
      <c r="P117" s="17"/>
      <c r="Q117" s="137"/>
      <c r="R117" s="139"/>
      <c r="S117" s="141"/>
      <c r="T117" s="141"/>
      <c r="U117" s="68"/>
    </row>
    <row r="118" spans="1:21" s="13" customFormat="1" ht="20.25" customHeight="1">
      <c r="A118" s="129"/>
      <c r="B118" s="132"/>
      <c r="C118" s="14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5"/>
      <c r="O118" s="15"/>
      <c r="P118" s="17"/>
      <c r="Q118" s="137"/>
      <c r="R118" s="139"/>
      <c r="S118" s="141"/>
      <c r="T118" s="141"/>
      <c r="U118" s="127"/>
    </row>
    <row r="119" spans="1:21" s="23" customFormat="1" ht="20.25" customHeight="1">
      <c r="A119" s="130"/>
      <c r="B119" s="133"/>
      <c r="C119" s="28" t="s">
        <v>42</v>
      </c>
      <c r="D119" s="20" t="s">
        <v>42</v>
      </c>
      <c r="E119" s="20" t="s">
        <v>42</v>
      </c>
      <c r="F119" s="20" t="s">
        <v>42</v>
      </c>
      <c r="G119" s="20" t="s">
        <v>42</v>
      </c>
      <c r="H119" s="20" t="s">
        <v>42</v>
      </c>
      <c r="I119" s="20" t="s">
        <v>42</v>
      </c>
      <c r="J119" s="20" t="s">
        <v>42</v>
      </c>
      <c r="K119" s="20" t="s">
        <v>42</v>
      </c>
      <c r="L119" s="20" t="s">
        <v>42</v>
      </c>
      <c r="M119" s="20" t="s">
        <v>42</v>
      </c>
      <c r="N119" s="21"/>
      <c r="O119" s="21"/>
      <c r="P119" s="22"/>
      <c r="Q119" s="137"/>
      <c r="R119" s="139"/>
      <c r="S119" s="141"/>
      <c r="T119" s="141"/>
      <c r="U119" s="68"/>
    </row>
    <row r="120" spans="1:21" s="13" customFormat="1" ht="20.25" customHeight="1">
      <c r="A120" s="142" t="s">
        <v>358</v>
      </c>
      <c r="B120" s="143">
        <v>14</v>
      </c>
      <c r="C120" s="14">
        <v>1401</v>
      </c>
      <c r="D120" s="16">
        <v>1402</v>
      </c>
      <c r="E120" s="16">
        <v>1403</v>
      </c>
      <c r="F120" s="16">
        <v>1404</v>
      </c>
      <c r="G120" s="16">
        <v>1405</v>
      </c>
      <c r="H120" s="16">
        <v>1406</v>
      </c>
      <c r="I120" s="16">
        <v>1407</v>
      </c>
      <c r="J120" s="16">
        <v>1408</v>
      </c>
      <c r="K120" s="16">
        <v>1409</v>
      </c>
      <c r="L120" s="16">
        <v>1410</v>
      </c>
      <c r="M120" s="15">
        <v>1411</v>
      </c>
      <c r="N120" s="16">
        <v>1412</v>
      </c>
      <c r="O120" s="15"/>
      <c r="P120" s="17"/>
      <c r="Q120" s="144">
        <f>COUNTIF(C124:P124,"ห้องว่าง")</f>
        <v>1</v>
      </c>
      <c r="R120" s="138">
        <f>COUNTIFS(C124:P124,"จอง")</f>
        <v>0</v>
      </c>
      <c r="S120" s="145">
        <f>COUNTIFS(C124:P124,"โอน")</f>
        <v>11</v>
      </c>
      <c r="T120" s="140">
        <f t="shared" ref="T120" si="38">COUNTIFS(C124:Q124,"ห้องเช่า")</f>
        <v>0</v>
      </c>
      <c r="U120" s="67"/>
    </row>
    <row r="121" spans="1:21" s="13" customFormat="1" ht="20.25" customHeight="1">
      <c r="A121" s="129"/>
      <c r="B121" s="132"/>
      <c r="C121" s="14" t="s">
        <v>15</v>
      </c>
      <c r="D121" s="16" t="s">
        <v>18</v>
      </c>
      <c r="E121" s="16" t="s">
        <v>21</v>
      </c>
      <c r="F121" s="16" t="s">
        <v>21</v>
      </c>
      <c r="G121" s="16" t="s">
        <v>24</v>
      </c>
      <c r="H121" s="16" t="s">
        <v>26</v>
      </c>
      <c r="I121" s="16" t="s">
        <v>28</v>
      </c>
      <c r="J121" s="16" t="s">
        <v>30</v>
      </c>
      <c r="K121" s="16" t="s">
        <v>28</v>
      </c>
      <c r="L121" s="16" t="s">
        <v>33</v>
      </c>
      <c r="M121" s="15" t="s">
        <v>78</v>
      </c>
      <c r="N121" s="16" t="s">
        <v>177</v>
      </c>
      <c r="O121" s="15"/>
      <c r="P121" s="17"/>
      <c r="Q121" s="137"/>
      <c r="R121" s="139"/>
      <c r="S121" s="141"/>
      <c r="T121" s="141"/>
      <c r="U121" s="68"/>
    </row>
    <row r="122" spans="1:21" s="13" customFormat="1" ht="20.25" customHeight="1">
      <c r="A122" s="129"/>
      <c r="B122" s="132"/>
      <c r="C122" s="14">
        <v>34.9</v>
      </c>
      <c r="D122" s="16">
        <v>33.700000000000003</v>
      </c>
      <c r="E122" s="16">
        <v>34.9</v>
      </c>
      <c r="F122" s="16">
        <v>34.9</v>
      </c>
      <c r="G122" s="16">
        <v>34.9</v>
      </c>
      <c r="H122" s="16">
        <v>33.700000000000003</v>
      </c>
      <c r="I122" s="16">
        <v>34.9</v>
      </c>
      <c r="J122" s="16">
        <v>30</v>
      </c>
      <c r="K122" s="16">
        <v>34.9</v>
      </c>
      <c r="L122" s="16">
        <v>34.799999999999997</v>
      </c>
      <c r="M122" s="15">
        <v>34.9</v>
      </c>
      <c r="N122" s="16">
        <v>42</v>
      </c>
      <c r="O122" s="15"/>
      <c r="P122" s="17"/>
      <c r="Q122" s="137"/>
      <c r="R122" s="139"/>
      <c r="S122" s="141"/>
      <c r="T122" s="141"/>
      <c r="U122" s="68"/>
    </row>
    <row r="123" spans="1:21" s="13" customFormat="1" ht="20.25" customHeight="1">
      <c r="A123" s="129"/>
      <c r="B123" s="132"/>
      <c r="C123" s="14"/>
      <c r="D123" s="16"/>
      <c r="E123" s="16"/>
      <c r="F123" s="16"/>
      <c r="G123" s="16"/>
      <c r="H123" s="16"/>
      <c r="I123" s="16"/>
      <c r="J123" s="16"/>
      <c r="K123" s="16"/>
      <c r="L123" s="16"/>
      <c r="M123" s="15" t="s">
        <v>529</v>
      </c>
      <c r="N123" s="16"/>
      <c r="O123" s="15"/>
      <c r="P123" s="17"/>
      <c r="Q123" s="137"/>
      <c r="R123" s="139"/>
      <c r="S123" s="141"/>
      <c r="T123" s="141"/>
      <c r="U123" s="127"/>
    </row>
    <row r="124" spans="1:21" s="23" customFormat="1" ht="20.25" customHeight="1">
      <c r="A124" s="130"/>
      <c r="B124" s="133"/>
      <c r="C124" s="28" t="s">
        <v>42</v>
      </c>
      <c r="D124" s="20" t="s">
        <v>42</v>
      </c>
      <c r="E124" s="20" t="s">
        <v>42</v>
      </c>
      <c r="F124" s="20" t="s">
        <v>42</v>
      </c>
      <c r="G124" s="20" t="s">
        <v>42</v>
      </c>
      <c r="H124" s="20" t="s">
        <v>42</v>
      </c>
      <c r="I124" s="20" t="s">
        <v>42</v>
      </c>
      <c r="J124" s="20" t="s">
        <v>42</v>
      </c>
      <c r="K124" s="20" t="s">
        <v>42</v>
      </c>
      <c r="L124" s="20" t="s">
        <v>42</v>
      </c>
      <c r="M124" s="19" t="s">
        <v>19</v>
      </c>
      <c r="N124" s="20" t="s">
        <v>42</v>
      </c>
      <c r="O124" s="21"/>
      <c r="P124" s="22"/>
      <c r="Q124" s="137"/>
      <c r="R124" s="139"/>
      <c r="S124" s="141"/>
      <c r="T124" s="141"/>
      <c r="U124" s="68"/>
    </row>
    <row r="125" spans="1:21" s="13" customFormat="1" ht="20.25" customHeight="1">
      <c r="A125" s="142" t="s">
        <v>361</v>
      </c>
      <c r="B125" s="143" t="s">
        <v>363</v>
      </c>
      <c r="C125" s="85" t="s">
        <v>153</v>
      </c>
      <c r="D125" s="26" t="s">
        <v>155</v>
      </c>
      <c r="E125" s="26" t="s">
        <v>157</v>
      </c>
      <c r="F125" s="26" t="s">
        <v>159</v>
      </c>
      <c r="G125" s="26" t="s">
        <v>161</v>
      </c>
      <c r="H125" s="78" t="s">
        <v>163</v>
      </c>
      <c r="I125" s="78" t="s">
        <v>165</v>
      </c>
      <c r="J125" s="26" t="s">
        <v>167</v>
      </c>
      <c r="K125" s="26" t="s">
        <v>169</v>
      </c>
      <c r="L125" s="26" t="s">
        <v>171</v>
      </c>
      <c r="M125" s="26" t="s">
        <v>173</v>
      </c>
      <c r="N125" s="26" t="s">
        <v>175</v>
      </c>
      <c r="O125" s="25"/>
      <c r="P125" s="27"/>
      <c r="Q125" s="144">
        <f>COUNTIF(C129:P129,"ห้องว่าง")</f>
        <v>0</v>
      </c>
      <c r="R125" s="138">
        <f>COUNTIFS(C129:P129,"จอง")</f>
        <v>0</v>
      </c>
      <c r="S125" s="145">
        <f>COUNTIFS(C129:P129,"โอน")</f>
        <v>12</v>
      </c>
      <c r="T125" s="140">
        <f t="shared" ref="T125" si="39">COUNTIFS(C129:Q129,"ห้องเช่า")</f>
        <v>0</v>
      </c>
      <c r="U125" s="67"/>
    </row>
    <row r="126" spans="1:21" s="13" customFormat="1" ht="20.25" customHeight="1">
      <c r="A126" s="129"/>
      <c r="B126" s="132"/>
      <c r="C126" s="81" t="s">
        <v>15</v>
      </c>
      <c r="D126" s="16" t="s">
        <v>18</v>
      </c>
      <c r="E126" s="16" t="s">
        <v>21</v>
      </c>
      <c r="F126" s="16" t="s">
        <v>21</v>
      </c>
      <c r="G126" s="16" t="s">
        <v>24</v>
      </c>
      <c r="H126" s="79" t="s">
        <v>26</v>
      </c>
      <c r="I126" s="79" t="s">
        <v>28</v>
      </c>
      <c r="J126" s="16" t="s">
        <v>30</v>
      </c>
      <c r="K126" s="16" t="s">
        <v>28</v>
      </c>
      <c r="L126" s="16" t="s">
        <v>33</v>
      </c>
      <c r="M126" s="16" t="s">
        <v>78</v>
      </c>
      <c r="N126" s="16" t="s">
        <v>177</v>
      </c>
      <c r="O126" s="15"/>
      <c r="P126" s="17"/>
      <c r="Q126" s="137"/>
      <c r="R126" s="139"/>
      <c r="S126" s="141"/>
      <c r="T126" s="141"/>
      <c r="U126" s="68"/>
    </row>
    <row r="127" spans="1:21" s="13" customFormat="1" ht="20.25" customHeight="1">
      <c r="A127" s="129"/>
      <c r="B127" s="132"/>
      <c r="C127" s="81">
        <v>34.9</v>
      </c>
      <c r="D127" s="16">
        <v>33.700000000000003</v>
      </c>
      <c r="E127" s="16">
        <v>34.9</v>
      </c>
      <c r="F127" s="16">
        <v>34.9</v>
      </c>
      <c r="G127" s="16">
        <v>34.9</v>
      </c>
      <c r="H127" s="79">
        <v>33.700000000000003</v>
      </c>
      <c r="I127" s="79">
        <v>34.9</v>
      </c>
      <c r="J127" s="16">
        <v>30</v>
      </c>
      <c r="K127" s="16">
        <v>34.9</v>
      </c>
      <c r="L127" s="16">
        <v>34.799999999999997</v>
      </c>
      <c r="M127" s="16">
        <v>34.9</v>
      </c>
      <c r="N127" s="16">
        <v>42</v>
      </c>
      <c r="O127" s="15"/>
      <c r="P127" s="17"/>
      <c r="Q127" s="137"/>
      <c r="R127" s="139"/>
      <c r="S127" s="141"/>
      <c r="T127" s="141"/>
      <c r="U127" s="68"/>
    </row>
    <row r="128" spans="1:21" s="13" customFormat="1" ht="20.25" customHeight="1">
      <c r="A128" s="129"/>
      <c r="B128" s="132"/>
      <c r="C128" s="81"/>
      <c r="D128" s="16"/>
      <c r="E128" s="16"/>
      <c r="F128" s="16"/>
      <c r="G128" s="16"/>
      <c r="H128" s="79"/>
      <c r="I128" s="79"/>
      <c r="J128" s="16"/>
      <c r="K128" s="16"/>
      <c r="L128" s="16"/>
      <c r="M128" s="16"/>
      <c r="N128" s="16"/>
      <c r="O128" s="15"/>
      <c r="P128" s="17"/>
      <c r="Q128" s="137"/>
      <c r="R128" s="139"/>
      <c r="S128" s="141"/>
      <c r="T128" s="141"/>
      <c r="U128" s="127"/>
    </row>
    <row r="129" spans="1:21" s="23" customFormat="1" ht="20.25" customHeight="1">
      <c r="A129" s="130"/>
      <c r="B129" s="133"/>
      <c r="C129" s="82" t="s">
        <v>42</v>
      </c>
      <c r="D129" s="20" t="s">
        <v>42</v>
      </c>
      <c r="E129" s="20" t="s">
        <v>42</v>
      </c>
      <c r="F129" s="20" t="s">
        <v>42</v>
      </c>
      <c r="G129" s="20" t="s">
        <v>42</v>
      </c>
      <c r="H129" s="80" t="s">
        <v>42</v>
      </c>
      <c r="I129" s="80" t="s">
        <v>42</v>
      </c>
      <c r="J129" s="20" t="s">
        <v>42</v>
      </c>
      <c r="K129" s="20" t="s">
        <v>42</v>
      </c>
      <c r="L129" s="20" t="s">
        <v>42</v>
      </c>
      <c r="M129" s="20" t="s">
        <v>42</v>
      </c>
      <c r="N129" s="20" t="s">
        <v>42</v>
      </c>
      <c r="O129" s="21"/>
      <c r="P129" s="22"/>
      <c r="Q129" s="137"/>
      <c r="R129" s="139"/>
      <c r="S129" s="141"/>
      <c r="T129" s="141"/>
      <c r="U129" s="68"/>
    </row>
    <row r="130" spans="1:21" s="13" customFormat="1" ht="20.25" customHeight="1">
      <c r="A130" s="129" t="s">
        <v>361</v>
      </c>
      <c r="B130" s="132">
        <v>12</v>
      </c>
      <c r="C130" s="81">
        <v>1201</v>
      </c>
      <c r="D130" s="79">
        <v>1202</v>
      </c>
      <c r="E130" s="16">
        <v>1203</v>
      </c>
      <c r="F130" s="79">
        <v>1204</v>
      </c>
      <c r="G130" s="79">
        <v>1205</v>
      </c>
      <c r="H130" s="79">
        <v>1206</v>
      </c>
      <c r="I130" s="16">
        <v>1207</v>
      </c>
      <c r="J130" s="79">
        <v>1208</v>
      </c>
      <c r="K130" s="16">
        <v>1209</v>
      </c>
      <c r="L130" s="16">
        <v>1210</v>
      </c>
      <c r="M130" s="79">
        <v>1211</v>
      </c>
      <c r="N130" s="16">
        <v>1212</v>
      </c>
      <c r="O130" s="79">
        <v>1213</v>
      </c>
      <c r="P130" s="83">
        <v>1214</v>
      </c>
      <c r="Q130" s="144">
        <f>COUNTIF(C134:P134,"ห้องว่าง")</f>
        <v>0</v>
      </c>
      <c r="R130" s="138">
        <f>COUNTIFS(C134:P134,"จอง")</f>
        <v>0</v>
      </c>
      <c r="S130" s="145">
        <f>COUNTIFS(C134:P134,"โอน")</f>
        <v>14</v>
      </c>
      <c r="T130" s="140">
        <f t="shared" ref="T130" si="40">COUNTIFS(C134:Q134,"ห้องเช่า")</f>
        <v>0</v>
      </c>
      <c r="U130" s="67"/>
    </row>
    <row r="131" spans="1:21" s="13" customFormat="1" ht="20.25" customHeight="1">
      <c r="A131" s="129"/>
      <c r="B131" s="132"/>
      <c r="C131" s="81" t="s">
        <v>15</v>
      </c>
      <c r="D131" s="79" t="s">
        <v>18</v>
      </c>
      <c r="E131" s="16" t="s">
        <v>21</v>
      </c>
      <c r="F131" s="79" t="s">
        <v>21</v>
      </c>
      <c r="G131" s="79" t="s">
        <v>24</v>
      </c>
      <c r="H131" s="79" t="s">
        <v>26</v>
      </c>
      <c r="I131" s="16" t="s">
        <v>28</v>
      </c>
      <c r="J131" s="79" t="s">
        <v>30</v>
      </c>
      <c r="K131" s="16" t="s">
        <v>28</v>
      </c>
      <c r="L131" s="16" t="s">
        <v>33</v>
      </c>
      <c r="M131" s="79" t="s">
        <v>78</v>
      </c>
      <c r="N131" s="16" t="s">
        <v>80</v>
      </c>
      <c r="O131" s="79" t="s">
        <v>35</v>
      </c>
      <c r="P131" s="83" t="s">
        <v>364</v>
      </c>
      <c r="Q131" s="137"/>
      <c r="R131" s="139"/>
      <c r="S131" s="141"/>
      <c r="T131" s="141"/>
      <c r="U131" s="68"/>
    </row>
    <row r="132" spans="1:21" s="13" customFormat="1" ht="20.25" customHeight="1">
      <c r="A132" s="129"/>
      <c r="B132" s="132"/>
      <c r="C132" s="81">
        <v>34.9</v>
      </c>
      <c r="D132" s="79">
        <v>33.700000000000003</v>
      </c>
      <c r="E132" s="16">
        <v>34.9</v>
      </c>
      <c r="F132" s="79">
        <v>34.9</v>
      </c>
      <c r="G132" s="79">
        <v>34.9</v>
      </c>
      <c r="H132" s="79">
        <v>33.700000000000003</v>
      </c>
      <c r="I132" s="16">
        <v>34.9</v>
      </c>
      <c r="J132" s="79">
        <v>30</v>
      </c>
      <c r="K132" s="16">
        <v>34.9</v>
      </c>
      <c r="L132" s="16">
        <v>34.799999999999997</v>
      </c>
      <c r="M132" s="79">
        <v>34.9</v>
      </c>
      <c r="N132" s="16">
        <v>34.799999999999997</v>
      </c>
      <c r="O132" s="79">
        <v>34.799999999999997</v>
      </c>
      <c r="P132" s="83">
        <v>34.9</v>
      </c>
      <c r="Q132" s="137"/>
      <c r="R132" s="139"/>
      <c r="S132" s="141"/>
      <c r="T132" s="141"/>
      <c r="U132" s="68"/>
    </row>
    <row r="133" spans="1:21" s="13" customFormat="1" ht="20.25" customHeight="1">
      <c r="A133" s="129"/>
      <c r="B133" s="132"/>
      <c r="C133" s="81"/>
      <c r="D133" s="79"/>
      <c r="E133" s="16"/>
      <c r="F133" s="79"/>
      <c r="G133" s="79"/>
      <c r="H133" s="79"/>
      <c r="I133" s="16"/>
      <c r="J133" s="79"/>
      <c r="K133" s="16"/>
      <c r="L133" s="16"/>
      <c r="M133" s="79"/>
      <c r="N133" s="16"/>
      <c r="O133" s="79"/>
      <c r="P133" s="83"/>
      <c r="Q133" s="137"/>
      <c r="R133" s="139"/>
      <c r="S133" s="141"/>
      <c r="T133" s="141"/>
      <c r="U133" s="127"/>
    </row>
    <row r="134" spans="1:21" s="23" customFormat="1" ht="20.25" customHeight="1">
      <c r="A134" s="130"/>
      <c r="B134" s="133"/>
      <c r="C134" s="82" t="s">
        <v>42</v>
      </c>
      <c r="D134" s="80" t="s">
        <v>42</v>
      </c>
      <c r="E134" s="20" t="s">
        <v>42</v>
      </c>
      <c r="F134" s="80" t="s">
        <v>42</v>
      </c>
      <c r="G134" s="80" t="s">
        <v>42</v>
      </c>
      <c r="H134" s="80" t="s">
        <v>42</v>
      </c>
      <c r="I134" s="20" t="s">
        <v>42</v>
      </c>
      <c r="J134" s="80" t="s">
        <v>42</v>
      </c>
      <c r="K134" s="20" t="s">
        <v>42</v>
      </c>
      <c r="L134" s="20" t="s">
        <v>42</v>
      </c>
      <c r="M134" s="80" t="s">
        <v>42</v>
      </c>
      <c r="N134" s="20" t="s">
        <v>42</v>
      </c>
      <c r="O134" s="80" t="s">
        <v>42</v>
      </c>
      <c r="P134" s="84" t="s">
        <v>42</v>
      </c>
      <c r="Q134" s="137"/>
      <c r="R134" s="139"/>
      <c r="S134" s="141"/>
      <c r="T134" s="141"/>
      <c r="U134" s="68"/>
    </row>
    <row r="135" spans="1:21" s="13" customFormat="1" ht="20.25" customHeight="1">
      <c r="A135" s="142" t="s">
        <v>358</v>
      </c>
      <c r="B135" s="143">
        <v>11</v>
      </c>
      <c r="C135" s="24">
        <v>1101</v>
      </c>
      <c r="D135" s="78">
        <v>1102</v>
      </c>
      <c r="E135" s="78">
        <v>1103</v>
      </c>
      <c r="F135" s="78">
        <v>1104</v>
      </c>
      <c r="G135" s="78">
        <v>1105</v>
      </c>
      <c r="H135" s="49">
        <v>1106</v>
      </c>
      <c r="I135" s="26">
        <v>1107</v>
      </c>
      <c r="J135" s="26">
        <v>1108</v>
      </c>
      <c r="K135" s="26">
        <v>1109</v>
      </c>
      <c r="L135" s="78">
        <v>1110</v>
      </c>
      <c r="M135" s="26">
        <v>1111</v>
      </c>
      <c r="N135" s="26">
        <v>1112</v>
      </c>
      <c r="O135" s="26">
        <v>1113</v>
      </c>
      <c r="P135" s="54">
        <v>1114</v>
      </c>
      <c r="Q135" s="144">
        <f>COUNTIF(C139:P139,"ห้องว่าง")</f>
        <v>0</v>
      </c>
      <c r="R135" s="138">
        <f>COUNTIFS(C139:P139,"จอง")</f>
        <v>0</v>
      </c>
      <c r="S135" s="145">
        <f>COUNTIFS(C139:P139,"โอน")</f>
        <v>14</v>
      </c>
      <c r="T135" s="140">
        <f t="shared" ref="T135" si="41">COUNTIFS(C139:Q139,"ห้องเช่า")</f>
        <v>0</v>
      </c>
      <c r="U135" s="67"/>
    </row>
    <row r="136" spans="1:21" s="13" customFormat="1" ht="20.25" customHeight="1">
      <c r="A136" s="129"/>
      <c r="B136" s="132"/>
      <c r="C136" s="14" t="s">
        <v>15</v>
      </c>
      <c r="D136" s="79" t="s">
        <v>18</v>
      </c>
      <c r="E136" s="79" t="s">
        <v>21</v>
      </c>
      <c r="F136" s="79" t="s">
        <v>21</v>
      </c>
      <c r="G136" s="79" t="s">
        <v>24</v>
      </c>
      <c r="H136" s="50" t="s">
        <v>26</v>
      </c>
      <c r="I136" s="16" t="s">
        <v>28</v>
      </c>
      <c r="J136" s="16" t="s">
        <v>30</v>
      </c>
      <c r="K136" s="16" t="s">
        <v>28</v>
      </c>
      <c r="L136" s="79" t="s">
        <v>33</v>
      </c>
      <c r="M136" s="16" t="s">
        <v>78</v>
      </c>
      <c r="N136" s="16" t="s">
        <v>80</v>
      </c>
      <c r="O136" s="16" t="s">
        <v>35</v>
      </c>
      <c r="P136" s="52" t="s">
        <v>364</v>
      </c>
      <c r="Q136" s="137"/>
      <c r="R136" s="139"/>
      <c r="S136" s="141"/>
      <c r="T136" s="141"/>
      <c r="U136" s="68"/>
    </row>
    <row r="137" spans="1:21" s="13" customFormat="1" ht="20.25" customHeight="1">
      <c r="A137" s="129"/>
      <c r="B137" s="132"/>
      <c r="C137" s="14">
        <v>34.9</v>
      </c>
      <c r="D137" s="79">
        <v>33.700000000000003</v>
      </c>
      <c r="E137" s="79">
        <v>34.9</v>
      </c>
      <c r="F137" s="79">
        <v>34.9</v>
      </c>
      <c r="G137" s="79">
        <v>34.9</v>
      </c>
      <c r="H137" s="50">
        <v>33.700000000000003</v>
      </c>
      <c r="I137" s="16">
        <v>34.9</v>
      </c>
      <c r="J137" s="16">
        <v>30</v>
      </c>
      <c r="K137" s="16">
        <v>34.9</v>
      </c>
      <c r="L137" s="79">
        <v>34.799999999999997</v>
      </c>
      <c r="M137" s="16">
        <v>34.9</v>
      </c>
      <c r="N137" s="16">
        <v>34.799999999999997</v>
      </c>
      <c r="O137" s="16">
        <v>34.799999999999997</v>
      </c>
      <c r="P137" s="52">
        <v>34.9</v>
      </c>
      <c r="Q137" s="137"/>
      <c r="R137" s="139"/>
      <c r="S137" s="141"/>
      <c r="T137" s="141"/>
      <c r="U137" s="68"/>
    </row>
    <row r="138" spans="1:21" s="13" customFormat="1" ht="20.25" customHeight="1">
      <c r="A138" s="129"/>
      <c r="B138" s="132"/>
      <c r="C138" s="14"/>
      <c r="D138" s="79"/>
      <c r="E138" s="79"/>
      <c r="F138" s="79"/>
      <c r="G138" s="79"/>
      <c r="H138" s="50"/>
      <c r="I138" s="16"/>
      <c r="J138" s="16"/>
      <c r="K138" s="16"/>
      <c r="L138" s="79"/>
      <c r="M138" s="16"/>
      <c r="N138" s="16"/>
      <c r="O138" s="16"/>
      <c r="P138" s="52"/>
      <c r="Q138" s="137"/>
      <c r="R138" s="139"/>
      <c r="S138" s="141"/>
      <c r="T138" s="141"/>
      <c r="U138" s="127"/>
    </row>
    <row r="139" spans="1:21" s="23" customFormat="1" ht="20.25" customHeight="1">
      <c r="A139" s="130"/>
      <c r="B139" s="133"/>
      <c r="C139" s="28" t="s">
        <v>42</v>
      </c>
      <c r="D139" s="80" t="s">
        <v>42</v>
      </c>
      <c r="E139" s="80" t="s">
        <v>42</v>
      </c>
      <c r="F139" s="80" t="s">
        <v>42</v>
      </c>
      <c r="G139" s="80" t="s">
        <v>42</v>
      </c>
      <c r="H139" s="51" t="s">
        <v>42</v>
      </c>
      <c r="I139" s="20" t="s">
        <v>42</v>
      </c>
      <c r="J139" s="20" t="s">
        <v>42</v>
      </c>
      <c r="K139" s="20" t="s">
        <v>42</v>
      </c>
      <c r="L139" s="80" t="s">
        <v>42</v>
      </c>
      <c r="M139" s="20" t="s">
        <v>42</v>
      </c>
      <c r="N139" s="20" t="s">
        <v>42</v>
      </c>
      <c r="O139" s="20" t="s">
        <v>42</v>
      </c>
      <c r="P139" s="53" t="s">
        <v>42</v>
      </c>
      <c r="Q139" s="137"/>
      <c r="R139" s="139"/>
      <c r="S139" s="141"/>
      <c r="T139" s="141"/>
      <c r="U139" s="68"/>
    </row>
    <row r="140" spans="1:21" s="13" customFormat="1" ht="20.25" customHeight="1">
      <c r="A140" s="142" t="s">
        <v>358</v>
      </c>
      <c r="B140" s="143">
        <v>10</v>
      </c>
      <c r="C140" s="24">
        <v>1001</v>
      </c>
      <c r="D140" s="26">
        <v>1002</v>
      </c>
      <c r="E140" s="26">
        <v>1003</v>
      </c>
      <c r="F140" s="26">
        <v>1004</v>
      </c>
      <c r="G140" s="25">
        <v>1005</v>
      </c>
      <c r="H140" s="25">
        <v>1006</v>
      </c>
      <c r="I140" s="26">
        <v>1007</v>
      </c>
      <c r="J140" s="26">
        <v>1008</v>
      </c>
      <c r="K140" s="25">
        <v>1009</v>
      </c>
      <c r="L140" s="26">
        <v>1010</v>
      </c>
      <c r="M140" s="25">
        <v>1011</v>
      </c>
      <c r="N140" s="26">
        <v>1012</v>
      </c>
      <c r="O140" s="26">
        <v>1013</v>
      </c>
      <c r="P140" s="27">
        <v>1014</v>
      </c>
      <c r="Q140" s="144">
        <f>COUNTIF(C144:P144,"ห้องว่าง")</f>
        <v>5</v>
      </c>
      <c r="R140" s="138">
        <f>COUNTIFS(C144:P144,"จอง")</f>
        <v>0</v>
      </c>
      <c r="S140" s="145">
        <f>COUNTIFS(C144:P144,"โอน")</f>
        <v>9</v>
      </c>
      <c r="T140" s="140">
        <f t="shared" ref="T140" si="42">COUNTIFS(C144:Q144,"ห้องเช่า")</f>
        <v>0</v>
      </c>
      <c r="U140" s="67"/>
    </row>
    <row r="141" spans="1:21" s="13" customFormat="1" ht="20.25" customHeight="1">
      <c r="A141" s="129"/>
      <c r="B141" s="132"/>
      <c r="C141" s="14" t="s">
        <v>15</v>
      </c>
      <c r="D141" s="16" t="s">
        <v>18</v>
      </c>
      <c r="E141" s="16" t="s">
        <v>21</v>
      </c>
      <c r="F141" s="16" t="s">
        <v>21</v>
      </c>
      <c r="G141" s="15" t="s">
        <v>24</v>
      </c>
      <c r="H141" s="15" t="s">
        <v>26</v>
      </c>
      <c r="I141" s="16" t="s">
        <v>28</v>
      </c>
      <c r="J141" s="16" t="s">
        <v>30</v>
      </c>
      <c r="K141" s="15" t="s">
        <v>28</v>
      </c>
      <c r="L141" s="16" t="s">
        <v>33</v>
      </c>
      <c r="M141" s="15" t="s">
        <v>78</v>
      </c>
      <c r="N141" s="16" t="s">
        <v>80</v>
      </c>
      <c r="O141" s="16" t="s">
        <v>35</v>
      </c>
      <c r="P141" s="17" t="s">
        <v>364</v>
      </c>
      <c r="Q141" s="137"/>
      <c r="R141" s="139"/>
      <c r="S141" s="141"/>
      <c r="T141" s="141"/>
      <c r="U141" s="68"/>
    </row>
    <row r="142" spans="1:21" s="13" customFormat="1" ht="20.25" customHeight="1">
      <c r="A142" s="129"/>
      <c r="B142" s="132"/>
      <c r="C142" s="14">
        <v>34.9</v>
      </c>
      <c r="D142" s="16">
        <v>33.700000000000003</v>
      </c>
      <c r="E142" s="16">
        <v>34.9</v>
      </c>
      <c r="F142" s="16">
        <v>34.9</v>
      </c>
      <c r="G142" s="15">
        <v>34.9</v>
      </c>
      <c r="H142" s="15">
        <v>33.700000000000003</v>
      </c>
      <c r="I142" s="16">
        <v>34.9</v>
      </c>
      <c r="J142" s="16">
        <v>30</v>
      </c>
      <c r="K142" s="15">
        <v>34.9</v>
      </c>
      <c r="L142" s="16">
        <v>34.799999999999997</v>
      </c>
      <c r="M142" s="15">
        <v>34.9</v>
      </c>
      <c r="N142" s="16">
        <v>34.799999999999997</v>
      </c>
      <c r="O142" s="16">
        <v>34.799999999999997</v>
      </c>
      <c r="P142" s="17">
        <v>34.9</v>
      </c>
      <c r="Q142" s="137"/>
      <c r="R142" s="139"/>
      <c r="S142" s="141"/>
      <c r="T142" s="141"/>
      <c r="U142" s="68"/>
    </row>
    <row r="143" spans="1:21" s="13" customFormat="1" ht="20.25" customHeight="1">
      <c r="A143" s="129"/>
      <c r="B143" s="132"/>
      <c r="C143" s="14"/>
      <c r="D143" s="16"/>
      <c r="E143" s="16"/>
      <c r="F143" s="16"/>
      <c r="G143" s="15" t="s">
        <v>532</v>
      </c>
      <c r="H143" s="15" t="s">
        <v>532</v>
      </c>
      <c r="I143" s="16"/>
      <c r="J143" s="16"/>
      <c r="K143" s="15" t="s">
        <v>532</v>
      </c>
      <c r="L143" s="16"/>
      <c r="M143" s="15" t="s">
        <v>532</v>
      </c>
      <c r="N143" s="16"/>
      <c r="O143" s="16"/>
      <c r="P143" s="15" t="s">
        <v>532</v>
      </c>
      <c r="Q143" s="137"/>
      <c r="R143" s="139"/>
      <c r="S143" s="141"/>
      <c r="T143" s="141"/>
      <c r="U143" s="127"/>
    </row>
    <row r="144" spans="1:21" s="23" customFormat="1" ht="20.25" customHeight="1">
      <c r="A144" s="130"/>
      <c r="B144" s="133"/>
      <c r="C144" s="28" t="s">
        <v>42</v>
      </c>
      <c r="D144" s="20" t="s">
        <v>42</v>
      </c>
      <c r="E144" s="20" t="s">
        <v>42</v>
      </c>
      <c r="F144" s="20" t="s">
        <v>42</v>
      </c>
      <c r="G144" s="19" t="s">
        <v>19</v>
      </c>
      <c r="H144" s="19" t="s">
        <v>19</v>
      </c>
      <c r="I144" s="20" t="s">
        <v>42</v>
      </c>
      <c r="J144" s="20" t="s">
        <v>42</v>
      </c>
      <c r="K144" s="19" t="s">
        <v>19</v>
      </c>
      <c r="L144" s="20" t="s">
        <v>42</v>
      </c>
      <c r="M144" s="19" t="s">
        <v>19</v>
      </c>
      <c r="N144" s="20" t="s">
        <v>42</v>
      </c>
      <c r="O144" s="20" t="s">
        <v>42</v>
      </c>
      <c r="P144" s="55" t="s">
        <v>19</v>
      </c>
      <c r="Q144" s="137"/>
      <c r="R144" s="139"/>
      <c r="S144" s="141"/>
      <c r="T144" s="141"/>
      <c r="U144" s="68"/>
    </row>
    <row r="145" spans="1:21" s="13" customFormat="1" ht="20.25" customHeight="1">
      <c r="A145" s="142" t="s">
        <v>361</v>
      </c>
      <c r="B145" s="143">
        <v>9</v>
      </c>
      <c r="C145" s="24">
        <v>901</v>
      </c>
      <c r="D145" s="94">
        <v>902</v>
      </c>
      <c r="E145" s="25">
        <v>903</v>
      </c>
      <c r="F145" s="26">
        <v>904</v>
      </c>
      <c r="G145" s="26">
        <v>905</v>
      </c>
      <c r="H145" s="26">
        <v>906</v>
      </c>
      <c r="I145" s="25">
        <v>907</v>
      </c>
      <c r="J145" s="26">
        <v>908</v>
      </c>
      <c r="K145" s="25">
        <v>909</v>
      </c>
      <c r="L145" s="26">
        <v>910</v>
      </c>
      <c r="M145" s="26">
        <v>911</v>
      </c>
      <c r="N145" s="26">
        <v>912</v>
      </c>
      <c r="O145" s="26">
        <v>913</v>
      </c>
      <c r="P145" s="54">
        <v>914</v>
      </c>
      <c r="Q145" s="144">
        <f>COUNTIF(C149:P149,"ห้องว่าง")</f>
        <v>3</v>
      </c>
      <c r="R145" s="138">
        <f>COUNTIFS(C149:P149,"จอง")</f>
        <v>0</v>
      </c>
      <c r="S145" s="145">
        <f>COUNTIFS(C149:P149,"โอน")</f>
        <v>11</v>
      </c>
      <c r="T145" s="140">
        <f t="shared" ref="T145" si="43">COUNTIFS(C149:Q149,"ห้องเช่า")</f>
        <v>0</v>
      </c>
      <c r="U145" s="67"/>
    </row>
    <row r="146" spans="1:21" s="13" customFormat="1" ht="20.25" customHeight="1">
      <c r="A146" s="129"/>
      <c r="B146" s="132"/>
      <c r="C146" s="14" t="s">
        <v>15</v>
      </c>
      <c r="D146" s="95" t="s">
        <v>18</v>
      </c>
      <c r="E146" s="15" t="s">
        <v>21</v>
      </c>
      <c r="F146" s="16" t="s">
        <v>21</v>
      </c>
      <c r="G146" s="16" t="s">
        <v>24</v>
      </c>
      <c r="H146" s="16" t="s">
        <v>26</v>
      </c>
      <c r="I146" s="15" t="s">
        <v>28</v>
      </c>
      <c r="J146" s="16" t="s">
        <v>30</v>
      </c>
      <c r="K146" s="15" t="s">
        <v>28</v>
      </c>
      <c r="L146" s="16" t="s">
        <v>33</v>
      </c>
      <c r="M146" s="16" t="s">
        <v>78</v>
      </c>
      <c r="N146" s="16" t="s">
        <v>80</v>
      </c>
      <c r="O146" s="16" t="s">
        <v>35</v>
      </c>
      <c r="P146" s="52" t="s">
        <v>364</v>
      </c>
      <c r="Q146" s="137"/>
      <c r="R146" s="139"/>
      <c r="S146" s="141"/>
      <c r="T146" s="141"/>
      <c r="U146" s="68"/>
    </row>
    <row r="147" spans="1:21" s="13" customFormat="1" ht="20.25" customHeight="1">
      <c r="A147" s="129"/>
      <c r="B147" s="132"/>
      <c r="C147" s="14">
        <v>34.9</v>
      </c>
      <c r="D147" s="95">
        <v>33.700000000000003</v>
      </c>
      <c r="E147" s="15">
        <v>34.9</v>
      </c>
      <c r="F147" s="16">
        <v>34.9</v>
      </c>
      <c r="G147" s="16">
        <v>34.9</v>
      </c>
      <c r="H147" s="16">
        <v>33.700000000000003</v>
      </c>
      <c r="I147" s="15">
        <v>34.9</v>
      </c>
      <c r="J147" s="16">
        <v>30</v>
      </c>
      <c r="K147" s="15">
        <v>34.9</v>
      </c>
      <c r="L147" s="16">
        <v>34.799999999999997</v>
      </c>
      <c r="M147" s="16">
        <v>34.9</v>
      </c>
      <c r="N147" s="16">
        <v>34.799999999999997</v>
      </c>
      <c r="O147" s="16">
        <v>34.799999999999997</v>
      </c>
      <c r="P147" s="52">
        <v>34.9</v>
      </c>
      <c r="Q147" s="137"/>
      <c r="R147" s="139"/>
      <c r="S147" s="141"/>
      <c r="T147" s="141"/>
      <c r="U147" s="68"/>
    </row>
    <row r="148" spans="1:21" s="13" customFormat="1" ht="20.25" customHeight="1">
      <c r="A148" s="129"/>
      <c r="B148" s="132"/>
      <c r="C148" s="14"/>
      <c r="D148" s="95"/>
      <c r="E148" s="15" t="s">
        <v>530</v>
      </c>
      <c r="F148" s="16"/>
      <c r="G148" s="16"/>
      <c r="H148" s="16"/>
      <c r="I148" s="15" t="s">
        <v>530</v>
      </c>
      <c r="J148" s="16"/>
      <c r="K148" s="15" t="s">
        <v>530</v>
      </c>
      <c r="L148" s="16"/>
      <c r="M148" s="16"/>
      <c r="N148" s="16"/>
      <c r="O148" s="16"/>
      <c r="P148" s="52"/>
      <c r="Q148" s="137"/>
      <c r="R148" s="139"/>
      <c r="S148" s="141"/>
      <c r="T148" s="141"/>
      <c r="U148" s="127"/>
    </row>
    <row r="149" spans="1:21" s="23" customFormat="1" ht="20.25" customHeight="1">
      <c r="A149" s="130"/>
      <c r="B149" s="133"/>
      <c r="C149" s="28" t="s">
        <v>42</v>
      </c>
      <c r="D149" s="96" t="s">
        <v>42</v>
      </c>
      <c r="E149" s="19" t="s">
        <v>19</v>
      </c>
      <c r="F149" s="20" t="s">
        <v>42</v>
      </c>
      <c r="G149" s="20" t="s">
        <v>42</v>
      </c>
      <c r="H149" s="20" t="s">
        <v>42</v>
      </c>
      <c r="I149" s="19" t="s">
        <v>19</v>
      </c>
      <c r="J149" s="20" t="s">
        <v>42</v>
      </c>
      <c r="K149" s="19" t="s">
        <v>19</v>
      </c>
      <c r="L149" s="20" t="s">
        <v>42</v>
      </c>
      <c r="M149" s="20" t="s">
        <v>42</v>
      </c>
      <c r="N149" s="20" t="s">
        <v>42</v>
      </c>
      <c r="O149" s="20" t="s">
        <v>42</v>
      </c>
      <c r="P149" s="53" t="s">
        <v>42</v>
      </c>
      <c r="Q149" s="137"/>
      <c r="R149" s="139"/>
      <c r="S149" s="141"/>
      <c r="T149" s="141"/>
      <c r="U149" s="68"/>
    </row>
    <row r="150" spans="1:21" s="13" customFormat="1" ht="20.25" customHeight="1">
      <c r="A150" s="142" t="s">
        <v>361</v>
      </c>
      <c r="B150" s="143">
        <v>8</v>
      </c>
      <c r="C150" s="24">
        <v>801</v>
      </c>
      <c r="D150" s="26">
        <v>802</v>
      </c>
      <c r="E150" s="25">
        <v>803</v>
      </c>
      <c r="F150" s="26">
        <v>804</v>
      </c>
      <c r="G150" s="26">
        <v>805</v>
      </c>
      <c r="H150" s="26">
        <v>806</v>
      </c>
      <c r="I150" s="26">
        <v>807</v>
      </c>
      <c r="J150" s="25">
        <v>808</v>
      </c>
      <c r="K150" s="26">
        <v>809</v>
      </c>
      <c r="L150" s="26">
        <v>810</v>
      </c>
      <c r="M150" s="26">
        <v>811</v>
      </c>
      <c r="N150" s="25">
        <v>812</v>
      </c>
      <c r="O150" s="26">
        <v>813</v>
      </c>
      <c r="P150" s="27">
        <v>814</v>
      </c>
      <c r="Q150" s="144">
        <f>COUNTIF(C154:P154,"ห้องว่าง")</f>
        <v>4</v>
      </c>
      <c r="R150" s="138">
        <f>COUNTIFS(C154:P154,"จอง")</f>
        <v>0</v>
      </c>
      <c r="S150" s="145">
        <f>COUNTIFS(C154:P154,"โอน")</f>
        <v>10</v>
      </c>
      <c r="T150" s="140">
        <f t="shared" ref="T150" si="44">COUNTIFS(C154:Q154,"ห้องเช่า")</f>
        <v>0</v>
      </c>
      <c r="U150" s="67"/>
    </row>
    <row r="151" spans="1:21" s="13" customFormat="1" ht="20.25" customHeight="1">
      <c r="A151" s="129"/>
      <c r="B151" s="132"/>
      <c r="C151" s="14" t="s">
        <v>15</v>
      </c>
      <c r="D151" s="16" t="s">
        <v>18</v>
      </c>
      <c r="E151" s="15" t="s">
        <v>21</v>
      </c>
      <c r="F151" s="16" t="s">
        <v>21</v>
      </c>
      <c r="G151" s="16" t="s">
        <v>24</v>
      </c>
      <c r="H151" s="16" t="s">
        <v>26</v>
      </c>
      <c r="I151" s="16" t="s">
        <v>28</v>
      </c>
      <c r="J151" s="15" t="s">
        <v>30</v>
      </c>
      <c r="K151" s="16" t="s">
        <v>28</v>
      </c>
      <c r="L151" s="16" t="s">
        <v>33</v>
      </c>
      <c r="M151" s="16" t="s">
        <v>78</v>
      </c>
      <c r="N151" s="15" t="s">
        <v>80</v>
      </c>
      <c r="O151" s="16" t="s">
        <v>35</v>
      </c>
      <c r="P151" s="17" t="s">
        <v>364</v>
      </c>
      <c r="Q151" s="137"/>
      <c r="R151" s="139"/>
      <c r="S151" s="141"/>
      <c r="T151" s="141"/>
      <c r="U151" s="68"/>
    </row>
    <row r="152" spans="1:21" s="13" customFormat="1" ht="20.25" customHeight="1">
      <c r="A152" s="129"/>
      <c r="B152" s="132"/>
      <c r="C152" s="14">
        <v>34.9</v>
      </c>
      <c r="D152" s="16">
        <v>33.700000000000003</v>
      </c>
      <c r="E152" s="15">
        <v>34.9</v>
      </c>
      <c r="F152" s="16">
        <v>34.9</v>
      </c>
      <c r="G152" s="16">
        <v>34.9</v>
      </c>
      <c r="H152" s="16">
        <v>33.700000000000003</v>
      </c>
      <c r="I152" s="16">
        <v>34.9</v>
      </c>
      <c r="J152" s="15">
        <v>30</v>
      </c>
      <c r="K152" s="16">
        <v>34.9</v>
      </c>
      <c r="L152" s="16">
        <v>34.799999999999997</v>
      </c>
      <c r="M152" s="16">
        <v>34.9</v>
      </c>
      <c r="N152" s="15">
        <v>34.799999999999997</v>
      </c>
      <c r="O152" s="16">
        <v>34.799999999999997</v>
      </c>
      <c r="P152" s="17">
        <v>34.9</v>
      </c>
      <c r="Q152" s="137"/>
      <c r="R152" s="139"/>
      <c r="S152" s="141"/>
      <c r="T152" s="141"/>
      <c r="U152" s="68"/>
    </row>
    <row r="153" spans="1:21" s="13" customFormat="1" ht="20.25" customHeight="1">
      <c r="A153" s="129"/>
      <c r="B153" s="132"/>
      <c r="C153" s="14"/>
      <c r="D153" s="16"/>
      <c r="E153" s="15" t="s">
        <v>530</v>
      </c>
      <c r="F153" s="16"/>
      <c r="G153" s="16"/>
      <c r="H153" s="16"/>
      <c r="I153" s="16"/>
      <c r="J153" s="15" t="s">
        <v>530</v>
      </c>
      <c r="K153" s="16"/>
      <c r="L153" s="16"/>
      <c r="M153" s="16"/>
      <c r="N153" s="15" t="s">
        <v>530</v>
      </c>
      <c r="O153" s="16"/>
      <c r="P153" s="15" t="s">
        <v>530</v>
      </c>
      <c r="Q153" s="137"/>
      <c r="R153" s="139"/>
      <c r="S153" s="141"/>
      <c r="T153" s="141"/>
      <c r="U153" s="127"/>
    </row>
    <row r="154" spans="1:21" s="23" customFormat="1" ht="20.25" customHeight="1">
      <c r="A154" s="130"/>
      <c r="B154" s="133"/>
      <c r="C154" s="28" t="s">
        <v>42</v>
      </c>
      <c r="D154" s="20" t="s">
        <v>42</v>
      </c>
      <c r="E154" s="19" t="s">
        <v>19</v>
      </c>
      <c r="F154" s="20" t="s">
        <v>42</v>
      </c>
      <c r="G154" s="20" t="s">
        <v>42</v>
      </c>
      <c r="H154" s="20" t="s">
        <v>42</v>
      </c>
      <c r="I154" s="20" t="s">
        <v>42</v>
      </c>
      <c r="J154" s="19" t="s">
        <v>19</v>
      </c>
      <c r="K154" s="20" t="s">
        <v>42</v>
      </c>
      <c r="L154" s="20" t="s">
        <v>42</v>
      </c>
      <c r="M154" s="20" t="s">
        <v>42</v>
      </c>
      <c r="N154" s="19" t="s">
        <v>19</v>
      </c>
      <c r="O154" s="20" t="s">
        <v>42</v>
      </c>
      <c r="P154" s="55" t="s">
        <v>19</v>
      </c>
      <c r="Q154" s="137"/>
      <c r="R154" s="139"/>
      <c r="S154" s="141"/>
      <c r="T154" s="141"/>
      <c r="U154" s="68"/>
    </row>
    <row r="155" spans="1:21" s="13" customFormat="1" ht="20.25" customHeight="1">
      <c r="A155" s="142" t="s">
        <v>361</v>
      </c>
      <c r="B155" s="143">
        <v>7</v>
      </c>
      <c r="C155" s="24">
        <v>701</v>
      </c>
      <c r="D155" s="72">
        <v>702</v>
      </c>
      <c r="E155" s="72">
        <v>703</v>
      </c>
      <c r="F155" s="72">
        <v>704</v>
      </c>
      <c r="G155" s="63">
        <v>705</v>
      </c>
      <c r="H155" s="72">
        <v>706</v>
      </c>
      <c r="I155" s="72">
        <v>707</v>
      </c>
      <c r="J155" s="72">
        <v>708</v>
      </c>
      <c r="K155" s="26">
        <v>709</v>
      </c>
      <c r="L155" s="72">
        <v>710</v>
      </c>
      <c r="M155" s="72">
        <v>711</v>
      </c>
      <c r="N155" s="26">
        <v>712</v>
      </c>
      <c r="O155" s="72">
        <v>713</v>
      </c>
      <c r="P155" s="54">
        <v>714</v>
      </c>
      <c r="Q155" s="144">
        <f>COUNTIF(C159:P159,"ห้องว่าง")</f>
        <v>1</v>
      </c>
      <c r="R155" s="138">
        <f>COUNTIFS(C159:P159,"จอง")</f>
        <v>0</v>
      </c>
      <c r="S155" s="145">
        <f>COUNTIFS(C159:P159,"โอน")</f>
        <v>4</v>
      </c>
      <c r="T155" s="140">
        <f t="shared" ref="T155" si="45">COUNTIFS(C159:Q159,"ห้องเช่า")</f>
        <v>9</v>
      </c>
      <c r="U155" s="67"/>
    </row>
    <row r="156" spans="1:21" s="13" customFormat="1" ht="20.25" customHeight="1">
      <c r="A156" s="129"/>
      <c r="B156" s="132"/>
      <c r="C156" s="14" t="s">
        <v>15</v>
      </c>
      <c r="D156" s="65" t="s">
        <v>18</v>
      </c>
      <c r="E156" s="65" t="s">
        <v>21</v>
      </c>
      <c r="F156" s="65" t="s">
        <v>21</v>
      </c>
      <c r="G156" s="62" t="s">
        <v>24</v>
      </c>
      <c r="H156" s="65" t="s">
        <v>26</v>
      </c>
      <c r="I156" s="65" t="s">
        <v>28</v>
      </c>
      <c r="J156" s="65" t="s">
        <v>30</v>
      </c>
      <c r="K156" s="16" t="s">
        <v>28</v>
      </c>
      <c r="L156" s="65" t="s">
        <v>33</v>
      </c>
      <c r="M156" s="65" t="s">
        <v>78</v>
      </c>
      <c r="N156" s="16" t="s">
        <v>80</v>
      </c>
      <c r="O156" s="65" t="s">
        <v>35</v>
      </c>
      <c r="P156" s="52" t="s">
        <v>364</v>
      </c>
      <c r="Q156" s="137"/>
      <c r="R156" s="139"/>
      <c r="S156" s="141"/>
      <c r="T156" s="141"/>
      <c r="U156" s="68"/>
    </row>
    <row r="157" spans="1:21" s="13" customFormat="1" ht="20.25" customHeight="1">
      <c r="A157" s="129"/>
      <c r="B157" s="132"/>
      <c r="C157" s="14">
        <v>34.9</v>
      </c>
      <c r="D157" s="65">
        <v>33.700000000000003</v>
      </c>
      <c r="E157" s="65">
        <v>34.9</v>
      </c>
      <c r="F157" s="65">
        <v>34.9</v>
      </c>
      <c r="G157" s="62">
        <v>34.9</v>
      </c>
      <c r="H157" s="65">
        <v>33.700000000000003</v>
      </c>
      <c r="I157" s="65">
        <v>34.9</v>
      </c>
      <c r="J157" s="65">
        <v>30</v>
      </c>
      <c r="K157" s="16">
        <v>34.9</v>
      </c>
      <c r="L157" s="65">
        <v>34.799999999999997</v>
      </c>
      <c r="M157" s="65">
        <v>34.9</v>
      </c>
      <c r="N157" s="16">
        <v>34.799999999999997</v>
      </c>
      <c r="O157" s="65">
        <v>34.799999999999997</v>
      </c>
      <c r="P157" s="52">
        <v>34.9</v>
      </c>
      <c r="Q157" s="137"/>
      <c r="R157" s="139"/>
      <c r="S157" s="141"/>
      <c r="T157" s="141"/>
      <c r="U157" s="68"/>
    </row>
    <row r="158" spans="1:21" s="13" customFormat="1" ht="20.25" customHeight="1">
      <c r="A158" s="129"/>
      <c r="B158" s="132"/>
      <c r="C158" s="14"/>
      <c r="D158" s="156"/>
      <c r="E158" s="156"/>
      <c r="F158" s="156"/>
      <c r="G158" s="15" t="s">
        <v>531</v>
      </c>
      <c r="H158" s="156"/>
      <c r="I158" s="156"/>
      <c r="J158" s="156"/>
      <c r="K158" s="16"/>
      <c r="L158" s="156"/>
      <c r="M158" s="156"/>
      <c r="N158" s="16"/>
      <c r="O158" s="156"/>
      <c r="P158" s="52"/>
      <c r="Q158" s="137"/>
      <c r="R158" s="139"/>
      <c r="S158" s="141"/>
      <c r="T158" s="141"/>
      <c r="U158" s="127"/>
    </row>
    <row r="159" spans="1:21" s="23" customFormat="1" ht="20.25" customHeight="1" thickBot="1">
      <c r="A159" s="130"/>
      <c r="B159" s="133"/>
      <c r="C159" s="28" t="s">
        <v>42</v>
      </c>
      <c r="D159" s="66" t="s">
        <v>528</v>
      </c>
      <c r="E159" s="66" t="s">
        <v>528</v>
      </c>
      <c r="F159" s="66" t="s">
        <v>528</v>
      </c>
      <c r="G159" s="19" t="s">
        <v>19</v>
      </c>
      <c r="H159" s="66" t="s">
        <v>528</v>
      </c>
      <c r="I159" s="66" t="s">
        <v>528</v>
      </c>
      <c r="J159" s="66" t="s">
        <v>528</v>
      </c>
      <c r="K159" s="20" t="s">
        <v>42</v>
      </c>
      <c r="L159" s="66" t="s">
        <v>528</v>
      </c>
      <c r="M159" s="66" t="s">
        <v>528</v>
      </c>
      <c r="N159" s="20" t="s">
        <v>42</v>
      </c>
      <c r="O159" s="66" t="s">
        <v>528</v>
      </c>
      <c r="P159" s="53" t="s">
        <v>42</v>
      </c>
      <c r="Q159" s="137"/>
      <c r="R159" s="139"/>
      <c r="S159" s="141"/>
      <c r="T159" s="141"/>
      <c r="U159" s="68"/>
    </row>
    <row r="160" spans="1:21" s="13" customFormat="1" ht="22.5" customHeight="1">
      <c r="A160" s="142" t="s">
        <v>358</v>
      </c>
      <c r="B160" s="143">
        <v>6</v>
      </c>
      <c r="C160" s="24">
        <v>601</v>
      </c>
      <c r="D160" s="26">
        <v>602</v>
      </c>
      <c r="E160" s="25">
        <v>603</v>
      </c>
      <c r="F160" s="37">
        <v>604</v>
      </c>
      <c r="G160" s="25">
        <v>605</v>
      </c>
      <c r="H160" s="26">
        <v>606</v>
      </c>
      <c r="I160" s="25">
        <v>607</v>
      </c>
      <c r="J160" s="26">
        <v>608</v>
      </c>
      <c r="K160" s="26">
        <v>609</v>
      </c>
      <c r="L160" s="26">
        <v>610</v>
      </c>
      <c r="M160" s="26">
        <v>611</v>
      </c>
      <c r="N160" s="26">
        <v>612</v>
      </c>
      <c r="O160" s="72">
        <v>613</v>
      </c>
      <c r="P160" s="27"/>
      <c r="Q160" s="144">
        <f>COUNTIF(C164:P164,"ห้องว่าง")</f>
        <v>4</v>
      </c>
      <c r="R160" s="138">
        <f>COUNTIFS(C164:P164,"จอง")</f>
        <v>0</v>
      </c>
      <c r="S160" s="145">
        <f>COUNTIFS(C164:P164,"โอน")</f>
        <v>8</v>
      </c>
      <c r="T160" s="140">
        <f t="shared" ref="T160" si="46">COUNTIFS(C164:Q164,"ห้องเช่า")</f>
        <v>1</v>
      </c>
      <c r="U160" s="67"/>
    </row>
    <row r="161" spans="1:21" s="13" customFormat="1" ht="22.5" customHeight="1">
      <c r="A161" s="129"/>
      <c r="B161" s="132"/>
      <c r="C161" s="14" t="s">
        <v>15</v>
      </c>
      <c r="D161" s="16" t="s">
        <v>18</v>
      </c>
      <c r="E161" s="15" t="s">
        <v>21</v>
      </c>
      <c r="F161" s="38" t="s">
        <v>21</v>
      </c>
      <c r="G161" s="15" t="s">
        <v>24</v>
      </c>
      <c r="H161" s="16" t="s">
        <v>26</v>
      </c>
      <c r="I161" s="15" t="s">
        <v>28</v>
      </c>
      <c r="J161" s="16" t="s">
        <v>30</v>
      </c>
      <c r="K161" s="16" t="s">
        <v>28</v>
      </c>
      <c r="L161" s="16" t="s">
        <v>33</v>
      </c>
      <c r="M161" s="16" t="s">
        <v>35</v>
      </c>
      <c r="N161" s="16" t="s">
        <v>364</v>
      </c>
      <c r="O161" s="65" t="s">
        <v>39</v>
      </c>
      <c r="P161" s="17"/>
      <c r="Q161" s="137"/>
      <c r="R161" s="139"/>
      <c r="S161" s="141"/>
      <c r="T161" s="141"/>
      <c r="U161" s="68"/>
    </row>
    <row r="162" spans="1:21" s="13" customFormat="1" ht="22.5" customHeight="1">
      <c r="A162" s="129"/>
      <c r="B162" s="132"/>
      <c r="C162" s="14">
        <v>34.9</v>
      </c>
      <c r="D162" s="16">
        <v>33.700000000000003</v>
      </c>
      <c r="E162" s="15">
        <v>34.9</v>
      </c>
      <c r="F162" s="38">
        <v>34.9</v>
      </c>
      <c r="G162" s="15">
        <v>34.9</v>
      </c>
      <c r="H162" s="16">
        <v>33.700000000000003</v>
      </c>
      <c r="I162" s="15">
        <v>34.9</v>
      </c>
      <c r="J162" s="16">
        <v>30</v>
      </c>
      <c r="K162" s="16">
        <v>34.9</v>
      </c>
      <c r="L162" s="16">
        <v>34.799999999999997</v>
      </c>
      <c r="M162" s="16">
        <v>34.799999999999997</v>
      </c>
      <c r="N162" s="16">
        <v>34.9</v>
      </c>
      <c r="O162" s="65">
        <v>34.5</v>
      </c>
      <c r="P162" s="17"/>
      <c r="Q162" s="137"/>
      <c r="R162" s="139"/>
      <c r="S162" s="141"/>
      <c r="T162" s="141"/>
      <c r="U162" s="68"/>
    </row>
    <row r="163" spans="1:21" s="13" customFormat="1" ht="22.5" customHeight="1">
      <c r="A163" s="129"/>
      <c r="B163" s="132"/>
      <c r="C163" s="14"/>
      <c r="D163" s="16"/>
      <c r="E163" s="15" t="s">
        <v>530</v>
      </c>
      <c r="F163" s="15" t="s">
        <v>530</v>
      </c>
      <c r="G163" s="15" t="s">
        <v>530</v>
      </c>
      <c r="H163" s="16"/>
      <c r="I163" s="15" t="s">
        <v>531</v>
      </c>
      <c r="J163" s="16"/>
      <c r="K163" s="16"/>
      <c r="L163" s="16"/>
      <c r="M163" s="16"/>
      <c r="N163" s="16"/>
      <c r="O163" s="156"/>
      <c r="P163" s="17"/>
      <c r="Q163" s="137"/>
      <c r="R163" s="139"/>
      <c r="S163" s="141"/>
      <c r="T163" s="141"/>
      <c r="U163" s="127"/>
    </row>
    <row r="164" spans="1:21" s="23" customFormat="1" ht="22.5" customHeight="1" thickBot="1">
      <c r="A164" s="130"/>
      <c r="B164" s="133"/>
      <c r="C164" s="28" t="s">
        <v>42</v>
      </c>
      <c r="D164" s="20" t="s">
        <v>42</v>
      </c>
      <c r="E164" s="19" t="s">
        <v>19</v>
      </c>
      <c r="F164" s="39" t="s">
        <v>19</v>
      </c>
      <c r="G164" s="19" t="s">
        <v>19</v>
      </c>
      <c r="H164" s="20" t="s">
        <v>42</v>
      </c>
      <c r="I164" s="19" t="s">
        <v>19</v>
      </c>
      <c r="J164" s="20" t="s">
        <v>42</v>
      </c>
      <c r="K164" s="20" t="s">
        <v>42</v>
      </c>
      <c r="L164" s="20" t="s">
        <v>42</v>
      </c>
      <c r="M164" s="20" t="s">
        <v>42</v>
      </c>
      <c r="N164" s="20" t="s">
        <v>42</v>
      </c>
      <c r="O164" s="66" t="s">
        <v>528</v>
      </c>
      <c r="P164" s="22"/>
      <c r="Q164" s="137"/>
      <c r="R164" s="139"/>
      <c r="S164" s="141"/>
      <c r="T164" s="141"/>
      <c r="U164" s="68"/>
    </row>
    <row r="165" spans="1:21" ht="20.25" customHeight="1">
      <c r="A165" s="129" t="s">
        <v>358</v>
      </c>
      <c r="B165" s="132">
        <v>5</v>
      </c>
      <c r="C165" s="64">
        <v>501</v>
      </c>
      <c r="D165" s="16">
        <v>502</v>
      </c>
      <c r="E165" s="65">
        <v>503</v>
      </c>
      <c r="F165" s="65">
        <v>504</v>
      </c>
      <c r="G165" s="65">
        <v>505</v>
      </c>
      <c r="H165" s="65">
        <v>506</v>
      </c>
      <c r="I165" s="65">
        <v>507</v>
      </c>
      <c r="J165" s="65">
        <v>508</v>
      </c>
      <c r="K165" s="16">
        <v>509</v>
      </c>
      <c r="L165" s="16">
        <v>510</v>
      </c>
      <c r="M165" s="65">
        <v>511</v>
      </c>
      <c r="N165" s="65">
        <v>512</v>
      </c>
      <c r="O165" s="65">
        <v>513</v>
      </c>
      <c r="P165" s="17"/>
      <c r="Q165" s="144">
        <f>COUNTIF(C169:P169,"ห้องว่าง")</f>
        <v>0</v>
      </c>
      <c r="R165" s="138">
        <f>COUNTIFS(C169:P169,"จอง")</f>
        <v>0</v>
      </c>
      <c r="S165" s="145">
        <f>COUNTIFS(C169:P169,"โอน")</f>
        <v>3</v>
      </c>
      <c r="T165" s="140">
        <f t="shared" ref="T165" si="47">COUNTIFS(C169:Q169,"ห้องเช่า")</f>
        <v>10</v>
      </c>
      <c r="U165" s="67"/>
    </row>
    <row r="166" spans="1:21" ht="20.25" customHeight="1">
      <c r="A166" s="129"/>
      <c r="B166" s="132"/>
      <c r="C166" s="64" t="s">
        <v>15</v>
      </c>
      <c r="D166" s="16" t="s">
        <v>18</v>
      </c>
      <c r="E166" s="65" t="s">
        <v>21</v>
      </c>
      <c r="F166" s="65" t="s">
        <v>21</v>
      </c>
      <c r="G166" s="65" t="s">
        <v>24</v>
      </c>
      <c r="H166" s="65" t="s">
        <v>26</v>
      </c>
      <c r="I166" s="65" t="s">
        <v>28</v>
      </c>
      <c r="J166" s="65" t="s">
        <v>30</v>
      </c>
      <c r="K166" s="16" t="s">
        <v>28</v>
      </c>
      <c r="L166" s="16" t="s">
        <v>33</v>
      </c>
      <c r="M166" s="65" t="s">
        <v>35</v>
      </c>
      <c r="N166" s="65" t="s">
        <v>364</v>
      </c>
      <c r="O166" s="65" t="s">
        <v>39</v>
      </c>
      <c r="P166" s="17"/>
      <c r="Q166" s="137"/>
      <c r="R166" s="139"/>
      <c r="S166" s="141"/>
      <c r="T166" s="141"/>
      <c r="U166" s="68"/>
    </row>
    <row r="167" spans="1:21" ht="20.25" customHeight="1">
      <c r="A167" s="129"/>
      <c r="B167" s="132"/>
      <c r="C167" s="64">
        <v>34.9</v>
      </c>
      <c r="D167" s="16">
        <v>33.700000000000003</v>
      </c>
      <c r="E167" s="65">
        <v>34.9</v>
      </c>
      <c r="F167" s="65">
        <v>34.9</v>
      </c>
      <c r="G167" s="65">
        <v>34.9</v>
      </c>
      <c r="H167" s="65">
        <v>33.700000000000003</v>
      </c>
      <c r="I167" s="65">
        <v>34.9</v>
      </c>
      <c r="J167" s="65">
        <v>30</v>
      </c>
      <c r="K167" s="16">
        <v>34.9</v>
      </c>
      <c r="L167" s="16">
        <v>34.799999999999997</v>
      </c>
      <c r="M167" s="65">
        <v>34.799999999999997</v>
      </c>
      <c r="N167" s="65">
        <v>34.9</v>
      </c>
      <c r="O167" s="65">
        <v>34.5</v>
      </c>
      <c r="P167" s="17"/>
      <c r="Q167" s="137"/>
      <c r="R167" s="139"/>
      <c r="S167" s="141"/>
      <c r="T167" s="141"/>
      <c r="U167" s="68"/>
    </row>
    <row r="168" spans="1:21" ht="20.25" customHeight="1">
      <c r="A168" s="129"/>
      <c r="B168" s="132"/>
      <c r="C168" s="64"/>
      <c r="D168" s="16"/>
      <c r="E168" s="156"/>
      <c r="F168" s="156"/>
      <c r="G168" s="156"/>
      <c r="H168" s="156"/>
      <c r="I168" s="156"/>
      <c r="J168" s="156"/>
      <c r="K168" s="16"/>
      <c r="L168" s="16"/>
      <c r="M168" s="156"/>
      <c r="N168" s="156"/>
      <c r="O168" s="156"/>
      <c r="P168" s="17"/>
      <c r="Q168" s="137"/>
      <c r="R168" s="139"/>
      <c r="S168" s="141"/>
      <c r="T168" s="141"/>
      <c r="U168" s="127"/>
    </row>
    <row r="169" spans="1:21" ht="20.25" customHeight="1" thickBot="1">
      <c r="A169" s="130"/>
      <c r="B169" s="133"/>
      <c r="C169" s="66" t="s">
        <v>528</v>
      </c>
      <c r="D169" s="20" t="s">
        <v>42</v>
      </c>
      <c r="E169" s="66" t="s">
        <v>528</v>
      </c>
      <c r="F169" s="66" t="s">
        <v>528</v>
      </c>
      <c r="G169" s="66" t="s">
        <v>528</v>
      </c>
      <c r="H169" s="66" t="s">
        <v>528</v>
      </c>
      <c r="I169" s="66" t="s">
        <v>528</v>
      </c>
      <c r="J169" s="66" t="s">
        <v>528</v>
      </c>
      <c r="K169" s="20" t="s">
        <v>42</v>
      </c>
      <c r="L169" s="20" t="s">
        <v>42</v>
      </c>
      <c r="M169" s="66" t="s">
        <v>528</v>
      </c>
      <c r="N169" s="66" t="s">
        <v>528</v>
      </c>
      <c r="O169" s="66" t="s">
        <v>528</v>
      </c>
      <c r="P169" s="22"/>
      <c r="Q169" s="137"/>
      <c r="R169" s="139"/>
      <c r="S169" s="141"/>
      <c r="T169" s="141"/>
      <c r="U169" s="68"/>
    </row>
    <row r="170" spans="1:21" ht="20.25" customHeight="1">
      <c r="A170" s="142" t="s">
        <v>358</v>
      </c>
      <c r="B170" s="143">
        <v>4</v>
      </c>
      <c r="C170" s="64">
        <v>401</v>
      </c>
      <c r="D170" s="65">
        <v>402</v>
      </c>
      <c r="E170" s="65">
        <v>403</v>
      </c>
      <c r="F170" s="65">
        <v>404</v>
      </c>
      <c r="G170" s="65">
        <v>405</v>
      </c>
      <c r="H170" s="65">
        <v>406</v>
      </c>
      <c r="I170" s="65">
        <v>407</v>
      </c>
      <c r="J170" s="65">
        <v>408</v>
      </c>
      <c r="K170" s="65">
        <v>409</v>
      </c>
      <c r="L170" s="65">
        <v>410</v>
      </c>
      <c r="M170" s="15">
        <v>411</v>
      </c>
      <c r="N170" s="15">
        <v>412</v>
      </c>
      <c r="O170" s="65">
        <v>413</v>
      </c>
      <c r="P170" s="17"/>
      <c r="Q170" s="144">
        <f>COUNTIF(C174:P174,"ห้องว่าง")</f>
        <v>2</v>
      </c>
      <c r="R170" s="138">
        <f>COUNTIFS(C174:P174,"จอง")</f>
        <v>0</v>
      </c>
      <c r="S170" s="145">
        <f>COUNTIFS(C174:P174,"โอน")</f>
        <v>0</v>
      </c>
      <c r="T170" s="140">
        <f t="shared" ref="T170" si="48">COUNTIFS(C174:Q174,"ห้องเช่า")</f>
        <v>11</v>
      </c>
      <c r="U170" s="67"/>
    </row>
    <row r="171" spans="1:21" ht="20.25" customHeight="1">
      <c r="A171" s="129"/>
      <c r="B171" s="132"/>
      <c r="C171" s="64" t="s">
        <v>15</v>
      </c>
      <c r="D171" s="65" t="s">
        <v>18</v>
      </c>
      <c r="E171" s="65" t="s">
        <v>21</v>
      </c>
      <c r="F171" s="65" t="s">
        <v>21</v>
      </c>
      <c r="G171" s="65" t="s">
        <v>24</v>
      </c>
      <c r="H171" s="65" t="s">
        <v>26</v>
      </c>
      <c r="I171" s="65" t="s">
        <v>28</v>
      </c>
      <c r="J171" s="65" t="s">
        <v>30</v>
      </c>
      <c r="K171" s="65" t="s">
        <v>28</v>
      </c>
      <c r="L171" s="65" t="s">
        <v>33</v>
      </c>
      <c r="M171" s="15" t="s">
        <v>35</v>
      </c>
      <c r="N171" s="15" t="s">
        <v>364</v>
      </c>
      <c r="O171" s="65" t="s">
        <v>39</v>
      </c>
      <c r="P171" s="17"/>
      <c r="Q171" s="137"/>
      <c r="R171" s="139"/>
      <c r="S171" s="141"/>
      <c r="T171" s="141"/>
      <c r="U171" s="68"/>
    </row>
    <row r="172" spans="1:21" ht="20.25" customHeight="1">
      <c r="A172" s="129"/>
      <c r="B172" s="132"/>
      <c r="C172" s="64">
        <v>34.9</v>
      </c>
      <c r="D172" s="65">
        <v>33.700000000000003</v>
      </c>
      <c r="E172" s="65">
        <v>34.9</v>
      </c>
      <c r="F172" s="65">
        <v>34.9</v>
      </c>
      <c r="G172" s="65">
        <v>34.9</v>
      </c>
      <c r="H172" s="65">
        <v>33.700000000000003</v>
      </c>
      <c r="I172" s="65">
        <v>34.9</v>
      </c>
      <c r="J172" s="65">
        <v>30</v>
      </c>
      <c r="K172" s="65">
        <v>34.9</v>
      </c>
      <c r="L172" s="65">
        <v>34.799999999999997</v>
      </c>
      <c r="M172" s="15">
        <v>34.799999999999997</v>
      </c>
      <c r="N172" s="15">
        <v>34.9</v>
      </c>
      <c r="O172" s="65">
        <v>34.5</v>
      </c>
      <c r="P172" s="17"/>
      <c r="Q172" s="137"/>
      <c r="R172" s="139"/>
      <c r="S172" s="141"/>
      <c r="T172" s="141"/>
      <c r="U172" s="68"/>
    </row>
    <row r="173" spans="1:21" ht="20.25" customHeight="1">
      <c r="A173" s="129"/>
      <c r="B173" s="132"/>
      <c r="C173" s="64"/>
      <c r="D173" s="156"/>
      <c r="E173" s="156"/>
      <c r="F173" s="156"/>
      <c r="G173" s="156"/>
      <c r="H173" s="156"/>
      <c r="I173" s="156"/>
      <c r="J173" s="156"/>
      <c r="K173" s="156"/>
      <c r="L173" s="156"/>
      <c r="M173" s="15" t="s">
        <v>529</v>
      </c>
      <c r="N173" s="15" t="s">
        <v>529</v>
      </c>
      <c r="O173" s="156"/>
      <c r="P173" s="17"/>
      <c r="Q173" s="137"/>
      <c r="R173" s="139"/>
      <c r="S173" s="141"/>
      <c r="T173" s="141"/>
      <c r="U173" s="127"/>
    </row>
    <row r="174" spans="1:21" ht="20.25" customHeight="1" thickBot="1">
      <c r="A174" s="154"/>
      <c r="B174" s="155"/>
      <c r="C174" s="66" t="s">
        <v>528</v>
      </c>
      <c r="D174" s="66" t="s">
        <v>528</v>
      </c>
      <c r="E174" s="66" t="s">
        <v>528</v>
      </c>
      <c r="F174" s="66" t="s">
        <v>528</v>
      </c>
      <c r="G174" s="66" t="s">
        <v>528</v>
      </c>
      <c r="H174" s="66" t="s">
        <v>528</v>
      </c>
      <c r="I174" s="66" t="s">
        <v>528</v>
      </c>
      <c r="J174" s="66" t="s">
        <v>528</v>
      </c>
      <c r="K174" s="66" t="s">
        <v>528</v>
      </c>
      <c r="L174" s="66" t="s">
        <v>528</v>
      </c>
      <c r="M174" s="56" t="s">
        <v>19</v>
      </c>
      <c r="N174" s="56" t="s">
        <v>19</v>
      </c>
      <c r="O174" s="66" t="s">
        <v>528</v>
      </c>
      <c r="P174" s="57"/>
      <c r="Q174" s="137"/>
      <c r="R174" s="139"/>
      <c r="S174" s="141"/>
      <c r="T174" s="141"/>
      <c r="U174" s="68"/>
    </row>
    <row r="175" spans="1:21" ht="24.75" customHeight="1">
      <c r="B175" s="58">
        <v>3</v>
      </c>
      <c r="C175" s="59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</row>
    <row r="176" spans="1:21" ht="24.75" customHeight="1">
      <c r="B176" s="58">
        <v>2</v>
      </c>
      <c r="C176" s="59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</row>
    <row r="177" spans="2:16" ht="24.75" customHeight="1">
      <c r="B177" s="58">
        <v>1</v>
      </c>
      <c r="C177" s="59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</row>
    <row r="179" spans="2:16" ht="20.25" customHeight="1">
      <c r="D179" s="61"/>
    </row>
  </sheetData>
  <mergeCells count="211">
    <mergeCell ref="T135:T139"/>
    <mergeCell ref="T140:T144"/>
    <mergeCell ref="T145:T149"/>
    <mergeCell ref="T150:T154"/>
    <mergeCell ref="T155:T159"/>
    <mergeCell ref="T160:T164"/>
    <mergeCell ref="T165:T169"/>
    <mergeCell ref="T170:T174"/>
    <mergeCell ref="T94:T96"/>
    <mergeCell ref="T97:T99"/>
    <mergeCell ref="T100:T104"/>
    <mergeCell ref="T105:T109"/>
    <mergeCell ref="T110:T114"/>
    <mergeCell ref="T115:T119"/>
    <mergeCell ref="T120:T124"/>
    <mergeCell ref="T125:T129"/>
    <mergeCell ref="T130:T134"/>
    <mergeCell ref="T49:T53"/>
    <mergeCell ref="T54:T58"/>
    <mergeCell ref="T59:T63"/>
    <mergeCell ref="T64:T68"/>
    <mergeCell ref="T69:T73"/>
    <mergeCell ref="T74:T78"/>
    <mergeCell ref="T79:T83"/>
    <mergeCell ref="T84:T88"/>
    <mergeCell ref="T89:T93"/>
    <mergeCell ref="T4:T8"/>
    <mergeCell ref="T9:T13"/>
    <mergeCell ref="T14:T18"/>
    <mergeCell ref="T19:T23"/>
    <mergeCell ref="T24:T28"/>
    <mergeCell ref="T29:T33"/>
    <mergeCell ref="T34:T38"/>
    <mergeCell ref="T39:T43"/>
    <mergeCell ref="T44:T48"/>
    <mergeCell ref="A170:A174"/>
    <mergeCell ref="B170:B174"/>
    <mergeCell ref="Q170:Q174"/>
    <mergeCell ref="R170:R174"/>
    <mergeCell ref="S170:S174"/>
    <mergeCell ref="A160:A164"/>
    <mergeCell ref="B160:B164"/>
    <mergeCell ref="Q160:Q164"/>
    <mergeCell ref="R160:R164"/>
    <mergeCell ref="S160:S164"/>
    <mergeCell ref="A165:A169"/>
    <mergeCell ref="B165:B169"/>
    <mergeCell ref="Q165:Q169"/>
    <mergeCell ref="R165:R169"/>
    <mergeCell ref="S165:S169"/>
    <mergeCell ref="A150:A154"/>
    <mergeCell ref="B150:B154"/>
    <mergeCell ref="Q150:Q154"/>
    <mergeCell ref="R150:R154"/>
    <mergeCell ref="S150:S154"/>
    <mergeCell ref="A155:A159"/>
    <mergeCell ref="B155:B159"/>
    <mergeCell ref="Q155:Q159"/>
    <mergeCell ref="R155:R159"/>
    <mergeCell ref="S155:S159"/>
    <mergeCell ref="A140:A144"/>
    <mergeCell ref="B140:B144"/>
    <mergeCell ref="Q140:Q144"/>
    <mergeCell ref="R140:R144"/>
    <mergeCell ref="S140:S144"/>
    <mergeCell ref="A145:A149"/>
    <mergeCell ref="B145:B149"/>
    <mergeCell ref="Q145:Q149"/>
    <mergeCell ref="R145:R149"/>
    <mergeCell ref="S145:S149"/>
    <mergeCell ref="A130:A134"/>
    <mergeCell ref="B130:B134"/>
    <mergeCell ref="Q130:Q134"/>
    <mergeCell ref="R130:R134"/>
    <mergeCell ref="S130:S134"/>
    <mergeCell ref="A135:A139"/>
    <mergeCell ref="B135:B139"/>
    <mergeCell ref="Q135:Q139"/>
    <mergeCell ref="R135:R139"/>
    <mergeCell ref="S135:S139"/>
    <mergeCell ref="A120:A124"/>
    <mergeCell ref="B120:B124"/>
    <mergeCell ref="Q120:Q124"/>
    <mergeCell ref="R120:R124"/>
    <mergeCell ref="S120:S124"/>
    <mergeCell ref="A125:A129"/>
    <mergeCell ref="B125:B129"/>
    <mergeCell ref="Q125:Q129"/>
    <mergeCell ref="R125:R129"/>
    <mergeCell ref="S125:S129"/>
    <mergeCell ref="A110:A114"/>
    <mergeCell ref="B110:B114"/>
    <mergeCell ref="Q110:Q114"/>
    <mergeCell ref="R110:R114"/>
    <mergeCell ref="S110:S114"/>
    <mergeCell ref="A115:A119"/>
    <mergeCell ref="B115:B119"/>
    <mergeCell ref="Q115:Q119"/>
    <mergeCell ref="R115:R119"/>
    <mergeCell ref="S115:S119"/>
    <mergeCell ref="A100:A104"/>
    <mergeCell ref="B100:B104"/>
    <mergeCell ref="Q100:Q104"/>
    <mergeCell ref="R100:R104"/>
    <mergeCell ref="S100:S104"/>
    <mergeCell ref="A105:A109"/>
    <mergeCell ref="B105:B109"/>
    <mergeCell ref="Q105:Q109"/>
    <mergeCell ref="R105:R109"/>
    <mergeCell ref="S105:S109"/>
    <mergeCell ref="A94:A96"/>
    <mergeCell ref="B94:B96"/>
    <mergeCell ref="Q94:Q96"/>
    <mergeCell ref="R94:R96"/>
    <mergeCell ref="S94:S96"/>
    <mergeCell ref="A97:A99"/>
    <mergeCell ref="B97:B99"/>
    <mergeCell ref="Q97:Q99"/>
    <mergeCell ref="R97:R99"/>
    <mergeCell ref="S97:S99"/>
    <mergeCell ref="A84:A88"/>
    <mergeCell ref="B84:B88"/>
    <mergeCell ref="Q84:Q88"/>
    <mergeCell ref="R84:R88"/>
    <mergeCell ref="S84:S88"/>
    <mergeCell ref="A89:A93"/>
    <mergeCell ref="B89:B93"/>
    <mergeCell ref="Q89:Q93"/>
    <mergeCell ref="R89:R93"/>
    <mergeCell ref="S89:S93"/>
    <mergeCell ref="A74:A78"/>
    <mergeCell ref="B74:B78"/>
    <mergeCell ref="Q74:Q78"/>
    <mergeCell ref="R74:R78"/>
    <mergeCell ref="S74:S78"/>
    <mergeCell ref="A79:A83"/>
    <mergeCell ref="B79:B83"/>
    <mergeCell ref="Q79:Q83"/>
    <mergeCell ref="R79:R83"/>
    <mergeCell ref="S79:S83"/>
    <mergeCell ref="A64:A68"/>
    <mergeCell ref="B64:B68"/>
    <mergeCell ref="Q64:Q68"/>
    <mergeCell ref="R64:R68"/>
    <mergeCell ref="S64:S68"/>
    <mergeCell ref="A69:A73"/>
    <mergeCell ref="B69:B73"/>
    <mergeCell ref="Q69:Q73"/>
    <mergeCell ref="R69:R73"/>
    <mergeCell ref="S69:S73"/>
    <mergeCell ref="A54:A58"/>
    <mergeCell ref="B54:B58"/>
    <mergeCell ref="Q54:Q58"/>
    <mergeCell ref="R54:R58"/>
    <mergeCell ref="S54:S58"/>
    <mergeCell ref="A59:A63"/>
    <mergeCell ref="B59:B63"/>
    <mergeCell ref="Q59:Q63"/>
    <mergeCell ref="R59:R63"/>
    <mergeCell ref="S59:S63"/>
    <mergeCell ref="A44:A48"/>
    <mergeCell ref="B44:B48"/>
    <mergeCell ref="Q44:Q48"/>
    <mergeCell ref="R44:R48"/>
    <mergeCell ref="S44:S48"/>
    <mergeCell ref="A49:A53"/>
    <mergeCell ref="B49:B53"/>
    <mergeCell ref="Q49:Q53"/>
    <mergeCell ref="R49:R53"/>
    <mergeCell ref="S49:S53"/>
    <mergeCell ref="A34:A38"/>
    <mergeCell ref="B34:B38"/>
    <mergeCell ref="Q34:Q38"/>
    <mergeCell ref="R34:R38"/>
    <mergeCell ref="S34:S38"/>
    <mergeCell ref="A39:A43"/>
    <mergeCell ref="B39:B43"/>
    <mergeCell ref="Q39:Q43"/>
    <mergeCell ref="R39:R43"/>
    <mergeCell ref="S39:S43"/>
    <mergeCell ref="A24:A28"/>
    <mergeCell ref="B24:B28"/>
    <mergeCell ref="Q24:Q28"/>
    <mergeCell ref="R24:R28"/>
    <mergeCell ref="S24:S28"/>
    <mergeCell ref="A29:A33"/>
    <mergeCell ref="B29:B33"/>
    <mergeCell ref="Q29:Q33"/>
    <mergeCell ref="R29:R33"/>
    <mergeCell ref="S29:S33"/>
    <mergeCell ref="A14:A18"/>
    <mergeCell ref="B14:B18"/>
    <mergeCell ref="Q14:Q18"/>
    <mergeCell ref="R14:R18"/>
    <mergeCell ref="S14:S18"/>
    <mergeCell ref="A19:A23"/>
    <mergeCell ref="B19:B23"/>
    <mergeCell ref="Q19:Q23"/>
    <mergeCell ref="R19:R23"/>
    <mergeCell ref="S19:S23"/>
    <mergeCell ref="A4:A8"/>
    <mergeCell ref="B4:B8"/>
    <mergeCell ref="P4:P5"/>
    <mergeCell ref="Q4:Q8"/>
    <mergeCell ref="R4:R8"/>
    <mergeCell ref="S4:S8"/>
    <mergeCell ref="A9:A13"/>
    <mergeCell ref="B9:B13"/>
    <mergeCell ref="Q9:Q13"/>
    <mergeCell ref="R9:R13"/>
    <mergeCell ref="S9:S13"/>
  </mergeCells>
  <conditionalFormatting sqref="A4:A7 A9:A12 A14:A17 A19:A22 A24:A27 A29:A32 A34:A37 A39:A42 A44:A47 A49:A52 A54:A57 A59:A62 A64:A67 A69:A72 A74:A77 A79:A82 A84:A87 A89:A92 A94:A95 A97:A98 A100:A103 A105:A108 A110:A113 A115:A118 A120:A123 A125:A128 A130:A133 A135:A138 A140:A143 A145:A148 A150:A153 A155:A158 A160:A163">
    <cfRule type="cellIs" dxfId="439" priority="443" operator="equal">
      <formula>"SoldTH"</formula>
    </cfRule>
    <cfRule type="cellIs" dxfId="438" priority="444" operator="equal">
      <formula>"Unknown"</formula>
    </cfRule>
    <cfRule type="cellIs" dxfId="437" priority="445" operator="equal">
      <formula>"Loan"</formula>
    </cfRule>
    <cfRule type="cellIs" dxfId="436" priority="446" operator="equal">
      <formula>"Cash"</formula>
    </cfRule>
    <cfRule type="cellIs" dxfId="435" priority="447" operator="equal">
      <formula>"AvailableHK"</formula>
    </cfRule>
    <cfRule type="cellIs" dxfId="434" priority="448" operator="equal">
      <formula>"N/A"</formula>
    </cfRule>
    <cfRule type="cellIs" dxfId="433" priority="449" operator="equal">
      <formula>"AvailableCH"</formula>
    </cfRule>
    <cfRule type="cellIs" dxfId="432" priority="450" operator="equal">
      <formula>"AvailableTH"</formula>
    </cfRule>
    <cfRule type="cellIs" dxfId="431" priority="451" operator="equal">
      <formula>"SoldOS"</formula>
    </cfRule>
  </conditionalFormatting>
  <conditionalFormatting sqref="A4:A174">
    <cfRule type="cellIs" dxfId="430" priority="441" operator="equal">
      <formula>"OS"</formula>
    </cfRule>
    <cfRule type="cellIs" dxfId="429" priority="442" operator="equal">
      <formula>"TH"</formula>
    </cfRule>
  </conditionalFormatting>
  <conditionalFormatting sqref="A143:G143 I143:J143 L143 N143:O143 A3:P142 A144:P174">
    <cfRule type="cellIs" dxfId="428" priority="418" operator="equal">
      <formula>"Available"</formula>
    </cfRule>
  </conditionalFormatting>
  <conditionalFormatting sqref="A143:G143 I143:J143 L143 N143:O143 Q143:XFD143 A1:XFD142 A144:XFD1048576">
    <cfRule type="cellIs" dxfId="427" priority="417" operator="equal">
      <formula>"จองสิทธิ์ 50,000"</formula>
    </cfRule>
  </conditionalFormatting>
  <conditionalFormatting sqref="C3:P4 C5:O5 C143:G143 I143:J143 L143 N143:O143 C6:P142 C144:P174">
    <cfRule type="cellIs" dxfId="426" priority="439" operator="equal">
      <formula>"Lock"</formula>
    </cfRule>
  </conditionalFormatting>
  <conditionalFormatting sqref="C4:P4 C5:O5 C143:G143 I143:J143 L143 N143:O143 C6:P142 C144:P174">
    <cfRule type="cellIs" dxfId="425" priority="440" operator="equal">
      <formula>"SOLD"</formula>
    </cfRule>
  </conditionalFormatting>
  <conditionalFormatting sqref="C169:P169 C174:P174">
    <cfRule type="cellIs" dxfId="424" priority="452" operator="equal">
      <formula>"SoldTH"</formula>
    </cfRule>
    <cfRule type="cellIs" dxfId="423" priority="453" operator="equal">
      <formula>"Unknown"</formula>
    </cfRule>
    <cfRule type="cellIs" dxfId="422" priority="454" operator="equal">
      <formula>"Loan"</formula>
    </cfRule>
    <cfRule type="cellIs" dxfId="421" priority="455" operator="equal">
      <formula>"Cash"</formula>
    </cfRule>
    <cfRule type="cellIs" dxfId="420" priority="456" operator="equal">
      <formula>"AvailableHK"</formula>
    </cfRule>
    <cfRule type="cellIs" dxfId="419" priority="457" operator="equal">
      <formula>"N/A"</formula>
    </cfRule>
    <cfRule type="cellIs" dxfId="418" priority="458" operator="equal">
      <formula>"AvailableCH"</formula>
    </cfRule>
    <cfRule type="cellIs" dxfId="417" priority="459" operator="equal">
      <formula>"AvailableTH"</formula>
    </cfRule>
    <cfRule type="cellIs" dxfId="416" priority="460" operator="equal">
      <formula>"SoldOS"</formula>
    </cfRule>
  </conditionalFormatting>
  <conditionalFormatting sqref="Q4:S7 Q9:S12 Q14:S17 Q19:S22 Q24:S27 Q29:S32 Q34:S37 Q39:S42 Q44:S47 Q49:S52 Q54:S57 Q59:S62 Q64:S67 Q69:S72 Q74:S77 Q79:S82 Q84:S87 Q89:S92">
    <cfRule type="cellIs" dxfId="415" priority="419" operator="equal">
      <formula>"SoldTH"</formula>
    </cfRule>
    <cfRule type="cellIs" dxfId="414" priority="420" operator="equal">
      <formula>"Unknown"</formula>
    </cfRule>
    <cfRule type="cellIs" dxfId="413" priority="421" operator="equal">
      <formula>"Loan"</formula>
    </cfRule>
    <cfRule type="cellIs" dxfId="412" priority="422" operator="equal">
      <formula>"Cash"</formula>
    </cfRule>
    <cfRule type="cellIs" dxfId="411" priority="423" operator="equal">
      <formula>"AvailableHK"</formula>
    </cfRule>
    <cfRule type="cellIs" dxfId="410" priority="424" operator="equal">
      <formula>"N/A"</formula>
    </cfRule>
    <cfRule type="cellIs" dxfId="409" priority="425" operator="equal">
      <formula>"AvailableCH"</formula>
    </cfRule>
    <cfRule type="cellIs" dxfId="408" priority="426" operator="equal">
      <formula>"AvailableTH"</formula>
    </cfRule>
    <cfRule type="cellIs" dxfId="407" priority="427" operator="equal">
      <formula>"SoldOS"</formula>
    </cfRule>
  </conditionalFormatting>
  <conditionalFormatting sqref="Q4:S174">
    <cfRule type="cellIs" dxfId="406" priority="428" operator="equal">
      <formula>"OS"</formula>
    </cfRule>
    <cfRule type="cellIs" dxfId="405" priority="429" operator="equal">
      <formula>"TH"</formula>
    </cfRule>
  </conditionalFormatting>
  <conditionalFormatting sqref="Q94:S95 Q97:S98">
    <cfRule type="cellIs" dxfId="404" priority="430" operator="equal">
      <formula>"SoldTH"</formula>
    </cfRule>
    <cfRule type="cellIs" dxfId="403" priority="431" operator="equal">
      <formula>"Unknown"</formula>
    </cfRule>
    <cfRule type="cellIs" dxfId="402" priority="432" operator="equal">
      <formula>"Loan"</formula>
    </cfRule>
    <cfRule type="cellIs" dxfId="401" priority="433" operator="equal">
      <formula>"Cash"</formula>
    </cfRule>
    <cfRule type="cellIs" dxfId="400" priority="434" operator="equal">
      <formula>"AvailableHK"</formula>
    </cfRule>
    <cfRule type="cellIs" dxfId="399" priority="435" operator="equal">
      <formula>"N/A"</formula>
    </cfRule>
    <cfRule type="cellIs" dxfId="398" priority="436" operator="equal">
      <formula>"AvailableCH"</formula>
    </cfRule>
    <cfRule type="cellIs" dxfId="397" priority="437" operator="equal">
      <formula>"AvailableTH"</formula>
    </cfRule>
    <cfRule type="cellIs" dxfId="396" priority="438" operator="equal">
      <formula>"SoldOS"</formula>
    </cfRule>
  </conditionalFormatting>
  <conditionalFormatting sqref="Q100:S103 Q105:S108 Q110:S113 Q115:S118 Q120:S123 Q125:S128 Q130:S133 Q135:S138 Q140:S143 Q145:S148 Q150:S153 Q155:S158 Q160:S163 A165:S168 A170:S173">
    <cfRule type="cellIs" dxfId="395" priority="408" operator="equal">
      <formula>"SoldTH"</formula>
    </cfRule>
    <cfRule type="cellIs" dxfId="394" priority="409" operator="equal">
      <formula>"Unknown"</formula>
    </cfRule>
    <cfRule type="cellIs" dxfId="393" priority="410" operator="equal">
      <formula>"Loan"</formula>
    </cfRule>
    <cfRule type="cellIs" dxfId="392" priority="411" operator="equal">
      <formula>"Cash"</formula>
    </cfRule>
    <cfRule type="cellIs" dxfId="391" priority="412" operator="equal">
      <formula>"AvailableHK"</formula>
    </cfRule>
    <cfRule type="cellIs" dxfId="390" priority="413" operator="equal">
      <formula>"N/A"</formula>
    </cfRule>
    <cfRule type="cellIs" dxfId="389" priority="414" operator="equal">
      <formula>"AvailableCH"</formula>
    </cfRule>
    <cfRule type="cellIs" dxfId="388" priority="415" operator="equal">
      <formula>"AvailableTH"</formula>
    </cfRule>
    <cfRule type="cellIs" dxfId="387" priority="416" operator="equal">
      <formula>"SoldOS"</formula>
    </cfRule>
  </conditionalFormatting>
  <conditionalFormatting sqref="T4:U7 T9:U12 T14:U17 T19:U22 T24:U27 T29:U32 T34:U37 T39:U42 T44:U47 T49:U52 T54:U57 T59:U62 T64:U67 T69:U72 T74:U77 T79:U82 T84:U87 T89:U92">
    <cfRule type="cellIs" dxfId="386" priority="388" operator="equal">
      <formula>"SoldTH"</formula>
    </cfRule>
    <cfRule type="cellIs" dxfId="385" priority="389" operator="equal">
      <formula>"Unknown"</formula>
    </cfRule>
    <cfRule type="cellIs" dxfId="384" priority="390" operator="equal">
      <formula>"Loan"</formula>
    </cfRule>
    <cfRule type="cellIs" dxfId="383" priority="391" operator="equal">
      <formula>"Cash"</formula>
    </cfRule>
    <cfRule type="cellIs" dxfId="382" priority="392" operator="equal">
      <formula>"AvailableHK"</formula>
    </cfRule>
    <cfRule type="cellIs" dxfId="381" priority="393" operator="equal">
      <formula>"N/A"</formula>
    </cfRule>
    <cfRule type="cellIs" dxfId="380" priority="394" operator="equal">
      <formula>"AvailableCH"</formula>
    </cfRule>
    <cfRule type="cellIs" dxfId="379" priority="395" operator="equal">
      <formula>"AvailableTH"</formula>
    </cfRule>
    <cfRule type="cellIs" dxfId="378" priority="396" operator="equal">
      <formula>"SoldOS"</formula>
    </cfRule>
  </conditionalFormatting>
  <conditionalFormatting sqref="T4:U174">
    <cfRule type="cellIs" dxfId="377" priority="397" operator="equal">
      <formula>"OS"</formula>
    </cfRule>
    <cfRule type="cellIs" dxfId="376" priority="398" operator="equal">
      <formula>"TH"</formula>
    </cfRule>
  </conditionalFormatting>
  <conditionalFormatting sqref="T94:U95 T97:U98">
    <cfRule type="cellIs" dxfId="375" priority="399" operator="equal">
      <formula>"SoldTH"</formula>
    </cfRule>
    <cfRule type="cellIs" dxfId="374" priority="400" operator="equal">
      <formula>"Unknown"</formula>
    </cfRule>
    <cfRule type="cellIs" dxfId="373" priority="401" operator="equal">
      <formula>"Loan"</formula>
    </cfRule>
    <cfRule type="cellIs" dxfId="372" priority="402" operator="equal">
      <formula>"Cash"</formula>
    </cfRule>
    <cfRule type="cellIs" dxfId="371" priority="403" operator="equal">
      <formula>"AvailableHK"</formula>
    </cfRule>
    <cfRule type="cellIs" dxfId="370" priority="404" operator="equal">
      <formula>"N/A"</formula>
    </cfRule>
    <cfRule type="cellIs" dxfId="369" priority="405" operator="equal">
      <formula>"AvailableCH"</formula>
    </cfRule>
    <cfRule type="cellIs" dxfId="368" priority="406" operator="equal">
      <formula>"AvailableTH"</formula>
    </cfRule>
    <cfRule type="cellIs" dxfId="367" priority="407" operator="equal">
      <formula>"SoldOS"</formula>
    </cfRule>
  </conditionalFormatting>
  <conditionalFormatting sqref="T100:U103 T105:U108 T110:U113 T115:U118 T120:U123 T125:U128 T130:U133 T135:U138 T140:U143 T145:U148 T150:U153 T155:U158 T160:U163 T165:U168 T170:U173">
    <cfRule type="cellIs" dxfId="366" priority="379" operator="equal">
      <formula>"SoldTH"</formula>
    </cfRule>
    <cfRule type="cellIs" dxfId="365" priority="380" operator="equal">
      <formula>"Unknown"</formula>
    </cfRule>
    <cfRule type="cellIs" dxfId="364" priority="381" operator="equal">
      <formula>"Loan"</formula>
    </cfRule>
    <cfRule type="cellIs" dxfId="363" priority="382" operator="equal">
      <formula>"Cash"</formula>
    </cfRule>
    <cfRule type="cellIs" dxfId="362" priority="383" operator="equal">
      <formula>"AvailableHK"</formula>
    </cfRule>
    <cfRule type="cellIs" dxfId="361" priority="384" operator="equal">
      <formula>"N/A"</formula>
    </cfRule>
    <cfRule type="cellIs" dxfId="360" priority="385" operator="equal">
      <formula>"AvailableCH"</formula>
    </cfRule>
    <cfRule type="cellIs" dxfId="359" priority="386" operator="equal">
      <formula>"AvailableTH"</formula>
    </cfRule>
    <cfRule type="cellIs" dxfId="358" priority="387" operator="equal">
      <formula>"SoldOS"</formula>
    </cfRule>
  </conditionalFormatting>
  <conditionalFormatting sqref="T100:U103 T105:U108 T110:U113 T115:U118 T120:U123 T125:U128 T130:U133 T135:U138 T140:U143 T145:U148 T150:U153 T155:U158 T160:U163 T165:U168 T170:U173">
    <cfRule type="cellIs" dxfId="357" priority="370" operator="equal">
      <formula>"SoldTH"</formula>
    </cfRule>
    <cfRule type="cellIs" dxfId="356" priority="371" operator="equal">
      <formula>"Unknown"</formula>
    </cfRule>
    <cfRule type="cellIs" dxfId="355" priority="372" operator="equal">
      <formula>"Loan"</formula>
    </cfRule>
    <cfRule type="cellIs" dxfId="354" priority="373" operator="equal">
      <formula>"Cash"</formula>
    </cfRule>
    <cfRule type="cellIs" dxfId="353" priority="374" operator="equal">
      <formula>"AvailableHK"</formula>
    </cfRule>
    <cfRule type="cellIs" dxfId="352" priority="375" operator="equal">
      <formula>"N/A"</formula>
    </cfRule>
    <cfRule type="cellIs" dxfId="351" priority="376" operator="equal">
      <formula>"AvailableCH"</formula>
    </cfRule>
    <cfRule type="cellIs" dxfId="350" priority="377" operator="equal">
      <formula>"AvailableTH"</formula>
    </cfRule>
    <cfRule type="cellIs" dxfId="349" priority="378" operator="equal">
      <formula>"SoldOS"</formula>
    </cfRule>
  </conditionalFormatting>
  <conditionalFormatting sqref="D159:F159">
    <cfRule type="cellIs" dxfId="348" priority="323" operator="equal">
      <formula>"SoldTH"</formula>
    </cfRule>
    <cfRule type="cellIs" dxfId="347" priority="324" operator="equal">
      <formula>"Unknown"</formula>
    </cfRule>
    <cfRule type="cellIs" dxfId="346" priority="325" operator="equal">
      <formula>"Loan"</formula>
    </cfRule>
    <cfRule type="cellIs" dxfId="345" priority="326" operator="equal">
      <formula>"Cash"</formula>
    </cfRule>
    <cfRule type="cellIs" dxfId="344" priority="327" operator="equal">
      <formula>"AvailableHK"</formula>
    </cfRule>
    <cfRule type="cellIs" dxfId="343" priority="328" operator="equal">
      <formula>"N/A"</formula>
    </cfRule>
    <cfRule type="cellIs" dxfId="342" priority="329" operator="equal">
      <formula>"AvailableCH"</formula>
    </cfRule>
    <cfRule type="cellIs" dxfId="341" priority="330" operator="equal">
      <formula>"AvailableTH"</formula>
    </cfRule>
    <cfRule type="cellIs" dxfId="340" priority="331" operator="equal">
      <formula>"SoldOS"</formula>
    </cfRule>
  </conditionalFormatting>
  <conditionalFormatting sqref="H159:J159">
    <cfRule type="cellIs" dxfId="339" priority="314" operator="equal">
      <formula>"SoldTH"</formula>
    </cfRule>
    <cfRule type="cellIs" dxfId="338" priority="315" operator="equal">
      <formula>"Unknown"</formula>
    </cfRule>
    <cfRule type="cellIs" dxfId="337" priority="316" operator="equal">
      <formula>"Loan"</formula>
    </cfRule>
    <cfRule type="cellIs" dxfId="336" priority="317" operator="equal">
      <formula>"Cash"</formula>
    </cfRule>
    <cfRule type="cellIs" dxfId="335" priority="318" operator="equal">
      <formula>"AvailableHK"</formula>
    </cfRule>
    <cfRule type="cellIs" dxfId="334" priority="319" operator="equal">
      <formula>"N/A"</formula>
    </cfRule>
    <cfRule type="cellIs" dxfId="333" priority="320" operator="equal">
      <formula>"AvailableCH"</formula>
    </cfRule>
    <cfRule type="cellIs" dxfId="332" priority="321" operator="equal">
      <formula>"AvailableTH"</formula>
    </cfRule>
    <cfRule type="cellIs" dxfId="331" priority="322" operator="equal">
      <formula>"SoldOS"</formula>
    </cfRule>
  </conditionalFormatting>
  <conditionalFormatting sqref="L159:M159">
    <cfRule type="cellIs" dxfId="330" priority="305" operator="equal">
      <formula>"SoldTH"</formula>
    </cfRule>
    <cfRule type="cellIs" dxfId="329" priority="306" operator="equal">
      <formula>"Unknown"</formula>
    </cfRule>
    <cfRule type="cellIs" dxfId="328" priority="307" operator="equal">
      <formula>"Loan"</formula>
    </cfRule>
    <cfRule type="cellIs" dxfId="327" priority="308" operator="equal">
      <formula>"Cash"</formula>
    </cfRule>
    <cfRule type="cellIs" dxfId="326" priority="309" operator="equal">
      <formula>"AvailableHK"</formula>
    </cfRule>
    <cfRule type="cellIs" dxfId="325" priority="310" operator="equal">
      <formula>"N/A"</formula>
    </cfRule>
    <cfRule type="cellIs" dxfId="324" priority="311" operator="equal">
      <formula>"AvailableCH"</formula>
    </cfRule>
    <cfRule type="cellIs" dxfId="323" priority="312" operator="equal">
      <formula>"AvailableTH"</formula>
    </cfRule>
    <cfRule type="cellIs" dxfId="322" priority="313" operator="equal">
      <formula>"SoldOS"</formula>
    </cfRule>
  </conditionalFormatting>
  <conditionalFormatting sqref="O159">
    <cfRule type="cellIs" dxfId="321" priority="296" operator="equal">
      <formula>"SoldTH"</formula>
    </cfRule>
    <cfRule type="cellIs" dxfId="320" priority="297" operator="equal">
      <formula>"Unknown"</formula>
    </cfRule>
    <cfRule type="cellIs" dxfId="319" priority="298" operator="equal">
      <formula>"Loan"</formula>
    </cfRule>
    <cfRule type="cellIs" dxfId="318" priority="299" operator="equal">
      <formula>"Cash"</formula>
    </cfRule>
    <cfRule type="cellIs" dxfId="317" priority="300" operator="equal">
      <formula>"AvailableHK"</formula>
    </cfRule>
    <cfRule type="cellIs" dxfId="316" priority="301" operator="equal">
      <formula>"N/A"</formula>
    </cfRule>
    <cfRule type="cellIs" dxfId="315" priority="302" operator="equal">
      <formula>"AvailableCH"</formula>
    </cfRule>
    <cfRule type="cellIs" dxfId="314" priority="303" operator="equal">
      <formula>"AvailableTH"</formula>
    </cfRule>
    <cfRule type="cellIs" dxfId="313" priority="304" operator="equal">
      <formula>"SoldOS"</formula>
    </cfRule>
  </conditionalFormatting>
  <conditionalFormatting sqref="O164">
    <cfRule type="cellIs" dxfId="312" priority="287" operator="equal">
      <formula>"SoldTH"</formula>
    </cfRule>
    <cfRule type="cellIs" dxfId="311" priority="288" operator="equal">
      <formula>"Unknown"</formula>
    </cfRule>
    <cfRule type="cellIs" dxfId="310" priority="289" operator="equal">
      <formula>"Loan"</formula>
    </cfRule>
    <cfRule type="cellIs" dxfId="309" priority="290" operator="equal">
      <formula>"Cash"</formula>
    </cfRule>
    <cfRule type="cellIs" dxfId="308" priority="291" operator="equal">
      <formula>"AvailableHK"</formula>
    </cfRule>
    <cfRule type="cellIs" dxfId="307" priority="292" operator="equal">
      <formula>"N/A"</formula>
    </cfRule>
    <cfRule type="cellIs" dxfId="306" priority="293" operator="equal">
      <formula>"AvailableCH"</formula>
    </cfRule>
    <cfRule type="cellIs" dxfId="305" priority="294" operator="equal">
      <formula>"AvailableTH"</formula>
    </cfRule>
    <cfRule type="cellIs" dxfId="304" priority="295" operator="equal">
      <formula>"SoldOS"</formula>
    </cfRule>
  </conditionalFormatting>
  <conditionalFormatting sqref="R100:R103 R105:R108 R110:R113 R115:R118 R120:R123 R125:R128 R130:R133 R135:R138 R140:R143 R145:R148 R150:R153 R155:R158 R160:R163 R165:R168 R170:R173">
    <cfRule type="cellIs" dxfId="303" priority="278" operator="equal">
      <formula>"SoldTH"</formula>
    </cfRule>
    <cfRule type="cellIs" dxfId="302" priority="279" operator="equal">
      <formula>"Unknown"</formula>
    </cfRule>
    <cfRule type="cellIs" dxfId="301" priority="280" operator="equal">
      <formula>"Loan"</formula>
    </cfRule>
    <cfRule type="cellIs" dxfId="300" priority="281" operator="equal">
      <formula>"Cash"</formula>
    </cfRule>
    <cfRule type="cellIs" dxfId="299" priority="282" operator="equal">
      <formula>"AvailableHK"</formula>
    </cfRule>
    <cfRule type="cellIs" dxfId="298" priority="283" operator="equal">
      <formula>"N/A"</formula>
    </cfRule>
    <cfRule type="cellIs" dxfId="297" priority="284" operator="equal">
      <formula>"AvailableCH"</formula>
    </cfRule>
    <cfRule type="cellIs" dxfId="296" priority="285" operator="equal">
      <formula>"AvailableTH"</formula>
    </cfRule>
    <cfRule type="cellIs" dxfId="295" priority="286" operator="equal">
      <formula>"SoldOS"</formula>
    </cfRule>
  </conditionalFormatting>
  <conditionalFormatting sqref="T100:T103 T105:T108 T110:T113 T115:T118 T120:T123 T125:T128 T130:T133 T135:T138 T140:T143 T145:T148 T150:T153 T155:T158 T160:T163 T165:T168 T170:T173">
    <cfRule type="cellIs" dxfId="294" priority="269" operator="equal">
      <formula>"SoldTH"</formula>
    </cfRule>
    <cfRule type="cellIs" dxfId="293" priority="270" operator="equal">
      <formula>"Unknown"</formula>
    </cfRule>
    <cfRule type="cellIs" dxfId="292" priority="271" operator="equal">
      <formula>"Loan"</formula>
    </cfRule>
    <cfRule type="cellIs" dxfId="291" priority="272" operator="equal">
      <formula>"Cash"</formula>
    </cfRule>
    <cfRule type="cellIs" dxfId="290" priority="273" operator="equal">
      <formula>"AvailableHK"</formula>
    </cfRule>
    <cfRule type="cellIs" dxfId="289" priority="274" operator="equal">
      <formula>"N/A"</formula>
    </cfRule>
    <cfRule type="cellIs" dxfId="288" priority="275" operator="equal">
      <formula>"AvailableCH"</formula>
    </cfRule>
    <cfRule type="cellIs" dxfId="287" priority="276" operator="equal">
      <formula>"AvailableTH"</formula>
    </cfRule>
    <cfRule type="cellIs" dxfId="286" priority="277" operator="equal">
      <formula>"SoldOS"</formula>
    </cfRule>
  </conditionalFormatting>
  <conditionalFormatting sqref="H143">
    <cfRule type="cellIs" dxfId="285" priority="266" operator="equal">
      <formula>"Available"</formula>
    </cfRule>
  </conditionalFormatting>
  <conditionalFormatting sqref="H143">
    <cfRule type="cellIs" dxfId="284" priority="265" operator="equal">
      <formula>"จองสิทธิ์ 50,000"</formula>
    </cfRule>
  </conditionalFormatting>
  <conditionalFormatting sqref="H143">
    <cfRule type="cellIs" dxfId="283" priority="267" operator="equal">
      <formula>"Lock"</formula>
    </cfRule>
  </conditionalFormatting>
  <conditionalFormatting sqref="H143">
    <cfRule type="cellIs" dxfId="282" priority="268" operator="equal">
      <formula>"SOLD"</formula>
    </cfRule>
  </conditionalFormatting>
  <conditionalFormatting sqref="K143">
    <cfRule type="cellIs" dxfId="281" priority="262" operator="equal">
      <formula>"Available"</formula>
    </cfRule>
  </conditionalFormatting>
  <conditionalFormatting sqref="K143">
    <cfRule type="cellIs" dxfId="280" priority="261" operator="equal">
      <formula>"จองสิทธิ์ 50,000"</formula>
    </cfRule>
  </conditionalFormatting>
  <conditionalFormatting sqref="K143">
    <cfRule type="cellIs" dxfId="279" priority="263" operator="equal">
      <formula>"Lock"</formula>
    </cfRule>
  </conditionalFormatting>
  <conditionalFormatting sqref="K143">
    <cfRule type="cellIs" dxfId="278" priority="264" operator="equal">
      <formula>"SOLD"</formula>
    </cfRule>
  </conditionalFormatting>
  <conditionalFormatting sqref="M143">
    <cfRule type="cellIs" dxfId="277" priority="258" operator="equal">
      <formula>"Available"</formula>
    </cfRule>
  </conditionalFormatting>
  <conditionalFormatting sqref="M143">
    <cfRule type="cellIs" dxfId="276" priority="257" operator="equal">
      <formula>"จองสิทธิ์ 50,000"</formula>
    </cfRule>
  </conditionalFormatting>
  <conditionalFormatting sqref="M143">
    <cfRule type="cellIs" dxfId="275" priority="259" operator="equal">
      <formula>"Lock"</formula>
    </cfRule>
  </conditionalFormatting>
  <conditionalFormatting sqref="M143">
    <cfRule type="cellIs" dxfId="274" priority="260" operator="equal">
      <formula>"SOLD"</formula>
    </cfRule>
  </conditionalFormatting>
  <conditionalFormatting sqref="P143">
    <cfRule type="cellIs" dxfId="273" priority="254" operator="equal">
      <formula>"Available"</formula>
    </cfRule>
  </conditionalFormatting>
  <conditionalFormatting sqref="P143">
    <cfRule type="cellIs" dxfId="272" priority="253" operator="equal">
      <formula>"จองสิทธิ์ 50,000"</formula>
    </cfRule>
  </conditionalFormatting>
  <conditionalFormatting sqref="P143">
    <cfRule type="cellIs" dxfId="271" priority="255" operator="equal">
      <formula>"Lock"</formula>
    </cfRule>
  </conditionalFormatting>
  <conditionalFormatting sqref="P143">
    <cfRule type="cellIs" dxfId="270" priority="256" operator="equal">
      <formula>"SOLD"</formula>
    </cfRule>
  </conditionalFormatting>
  <conditionalFormatting sqref="M123">
    <cfRule type="cellIs" dxfId="269" priority="244" operator="equal">
      <formula>"SoldTH"</formula>
    </cfRule>
    <cfRule type="cellIs" dxfId="268" priority="245" operator="equal">
      <formula>"Unknown"</formula>
    </cfRule>
    <cfRule type="cellIs" dxfId="267" priority="246" operator="equal">
      <formula>"Loan"</formula>
    </cfRule>
    <cfRule type="cellIs" dxfId="266" priority="247" operator="equal">
      <formula>"Cash"</formula>
    </cfRule>
    <cfRule type="cellIs" dxfId="265" priority="248" operator="equal">
      <formula>"AvailableHK"</formula>
    </cfRule>
    <cfRule type="cellIs" dxfId="264" priority="249" operator="equal">
      <formula>"N/A"</formula>
    </cfRule>
    <cfRule type="cellIs" dxfId="263" priority="250" operator="equal">
      <formula>"AvailableCH"</formula>
    </cfRule>
    <cfRule type="cellIs" dxfId="262" priority="251" operator="equal">
      <formula>"AvailableTH"</formula>
    </cfRule>
    <cfRule type="cellIs" dxfId="261" priority="252" operator="equal">
      <formula>"SoldOS"</formula>
    </cfRule>
  </conditionalFormatting>
  <conditionalFormatting sqref="K103:L103">
    <cfRule type="cellIs" dxfId="260" priority="235" operator="equal">
      <formula>"SoldTH"</formula>
    </cfRule>
    <cfRule type="cellIs" dxfId="259" priority="236" operator="equal">
      <formula>"Unknown"</formula>
    </cfRule>
    <cfRule type="cellIs" dxfId="258" priority="237" operator="equal">
      <formula>"Loan"</formula>
    </cfRule>
    <cfRule type="cellIs" dxfId="257" priority="238" operator="equal">
      <formula>"Cash"</formula>
    </cfRule>
    <cfRule type="cellIs" dxfId="256" priority="239" operator="equal">
      <formula>"AvailableHK"</formula>
    </cfRule>
    <cfRule type="cellIs" dxfId="255" priority="240" operator="equal">
      <formula>"N/A"</formula>
    </cfRule>
    <cfRule type="cellIs" dxfId="254" priority="241" operator="equal">
      <formula>"AvailableCH"</formula>
    </cfRule>
    <cfRule type="cellIs" dxfId="253" priority="242" operator="equal">
      <formula>"AvailableTH"</formula>
    </cfRule>
    <cfRule type="cellIs" dxfId="252" priority="243" operator="equal">
      <formula>"SoldOS"</formula>
    </cfRule>
  </conditionalFormatting>
  <conditionalFormatting sqref="C103">
    <cfRule type="cellIs" dxfId="251" priority="226" operator="equal">
      <formula>"SoldTH"</formula>
    </cfRule>
    <cfRule type="cellIs" dxfId="250" priority="227" operator="equal">
      <formula>"Unknown"</formula>
    </cfRule>
    <cfRule type="cellIs" dxfId="249" priority="228" operator="equal">
      <formula>"Loan"</formula>
    </cfRule>
    <cfRule type="cellIs" dxfId="248" priority="229" operator="equal">
      <formula>"Cash"</formula>
    </cfRule>
    <cfRule type="cellIs" dxfId="247" priority="230" operator="equal">
      <formula>"AvailableHK"</formula>
    </cfRule>
    <cfRule type="cellIs" dxfId="246" priority="231" operator="equal">
      <formula>"N/A"</formula>
    </cfRule>
    <cfRule type="cellIs" dxfId="245" priority="232" operator="equal">
      <formula>"AvailableCH"</formula>
    </cfRule>
    <cfRule type="cellIs" dxfId="244" priority="233" operator="equal">
      <formula>"AvailableTH"</formula>
    </cfRule>
    <cfRule type="cellIs" dxfId="243" priority="234" operator="equal">
      <formula>"SoldOS"</formula>
    </cfRule>
  </conditionalFormatting>
  <conditionalFormatting sqref="E103">
    <cfRule type="cellIs" dxfId="242" priority="217" operator="equal">
      <formula>"SoldTH"</formula>
    </cfRule>
    <cfRule type="cellIs" dxfId="241" priority="218" operator="equal">
      <formula>"Unknown"</formula>
    </cfRule>
    <cfRule type="cellIs" dxfId="240" priority="219" operator="equal">
      <formula>"Loan"</formula>
    </cfRule>
    <cfRule type="cellIs" dxfId="239" priority="220" operator="equal">
      <formula>"Cash"</formula>
    </cfRule>
    <cfRule type="cellIs" dxfId="238" priority="221" operator="equal">
      <formula>"AvailableHK"</formula>
    </cfRule>
    <cfRule type="cellIs" dxfId="237" priority="222" operator="equal">
      <formula>"N/A"</formula>
    </cfRule>
    <cfRule type="cellIs" dxfId="236" priority="223" operator="equal">
      <formula>"AvailableCH"</formula>
    </cfRule>
    <cfRule type="cellIs" dxfId="235" priority="224" operator="equal">
      <formula>"AvailableTH"</formula>
    </cfRule>
    <cfRule type="cellIs" dxfId="234" priority="225" operator="equal">
      <formula>"SoldOS"</formula>
    </cfRule>
  </conditionalFormatting>
  <conditionalFormatting sqref="F103">
    <cfRule type="cellIs" dxfId="233" priority="208" operator="equal">
      <formula>"SoldTH"</formula>
    </cfRule>
    <cfRule type="cellIs" dxfId="232" priority="209" operator="equal">
      <formula>"Unknown"</formula>
    </cfRule>
    <cfRule type="cellIs" dxfId="231" priority="210" operator="equal">
      <formula>"Loan"</formula>
    </cfRule>
    <cfRule type="cellIs" dxfId="230" priority="211" operator="equal">
      <formula>"Cash"</formula>
    </cfRule>
    <cfRule type="cellIs" dxfId="229" priority="212" operator="equal">
      <formula>"AvailableHK"</formula>
    </cfRule>
    <cfRule type="cellIs" dxfId="228" priority="213" operator="equal">
      <formula>"N/A"</formula>
    </cfRule>
    <cfRule type="cellIs" dxfId="227" priority="214" operator="equal">
      <formula>"AvailableCH"</formula>
    </cfRule>
    <cfRule type="cellIs" dxfId="226" priority="215" operator="equal">
      <formula>"AvailableTH"</formula>
    </cfRule>
    <cfRule type="cellIs" dxfId="225" priority="216" operator="equal">
      <formula>"SoldOS"</formula>
    </cfRule>
  </conditionalFormatting>
  <conditionalFormatting sqref="F92">
    <cfRule type="cellIs" dxfId="224" priority="199" operator="equal">
      <formula>"SoldTH"</formula>
    </cfRule>
    <cfRule type="cellIs" dxfId="223" priority="200" operator="equal">
      <formula>"Unknown"</formula>
    </cfRule>
    <cfRule type="cellIs" dxfId="222" priority="201" operator="equal">
      <formula>"Loan"</formula>
    </cfRule>
    <cfRule type="cellIs" dxfId="221" priority="202" operator="equal">
      <formula>"Cash"</formula>
    </cfRule>
    <cfRule type="cellIs" dxfId="220" priority="203" operator="equal">
      <formula>"AvailableHK"</formula>
    </cfRule>
    <cfRule type="cellIs" dxfId="219" priority="204" operator="equal">
      <formula>"N/A"</formula>
    </cfRule>
    <cfRule type="cellIs" dxfId="218" priority="205" operator="equal">
      <formula>"AvailableCH"</formula>
    </cfRule>
    <cfRule type="cellIs" dxfId="217" priority="206" operator="equal">
      <formula>"AvailableTH"</formula>
    </cfRule>
    <cfRule type="cellIs" dxfId="216" priority="207" operator="equal">
      <formula>"SoldOS"</formula>
    </cfRule>
  </conditionalFormatting>
  <conditionalFormatting sqref="F87">
    <cfRule type="cellIs" dxfId="215" priority="190" operator="equal">
      <formula>"SoldTH"</formula>
    </cfRule>
    <cfRule type="cellIs" dxfId="214" priority="191" operator="equal">
      <formula>"Unknown"</formula>
    </cfRule>
    <cfRule type="cellIs" dxfId="213" priority="192" operator="equal">
      <formula>"Loan"</formula>
    </cfRule>
    <cfRule type="cellIs" dxfId="212" priority="193" operator="equal">
      <formula>"Cash"</formula>
    </cfRule>
    <cfRule type="cellIs" dxfId="211" priority="194" operator="equal">
      <formula>"AvailableHK"</formula>
    </cfRule>
    <cfRule type="cellIs" dxfId="210" priority="195" operator="equal">
      <formula>"N/A"</formula>
    </cfRule>
    <cfRule type="cellIs" dxfId="209" priority="196" operator="equal">
      <formula>"AvailableCH"</formula>
    </cfRule>
    <cfRule type="cellIs" dxfId="208" priority="197" operator="equal">
      <formula>"AvailableTH"</formula>
    </cfRule>
    <cfRule type="cellIs" dxfId="207" priority="198" operator="equal">
      <formula>"SoldOS"</formula>
    </cfRule>
  </conditionalFormatting>
  <conditionalFormatting sqref="H87">
    <cfRule type="cellIs" dxfId="206" priority="181" operator="equal">
      <formula>"SoldTH"</formula>
    </cfRule>
    <cfRule type="cellIs" dxfId="205" priority="182" operator="equal">
      <formula>"Unknown"</formula>
    </cfRule>
    <cfRule type="cellIs" dxfId="204" priority="183" operator="equal">
      <formula>"Loan"</formula>
    </cfRule>
    <cfRule type="cellIs" dxfId="203" priority="184" operator="equal">
      <formula>"Cash"</formula>
    </cfRule>
    <cfRule type="cellIs" dxfId="202" priority="185" operator="equal">
      <formula>"AvailableHK"</formula>
    </cfRule>
    <cfRule type="cellIs" dxfId="201" priority="186" operator="equal">
      <formula>"N/A"</formula>
    </cfRule>
    <cfRule type="cellIs" dxfId="200" priority="187" operator="equal">
      <formula>"AvailableCH"</formula>
    </cfRule>
    <cfRule type="cellIs" dxfId="199" priority="188" operator="equal">
      <formula>"AvailableTH"</formula>
    </cfRule>
    <cfRule type="cellIs" dxfId="198" priority="189" operator="equal">
      <formula>"SoldOS"</formula>
    </cfRule>
  </conditionalFormatting>
  <conditionalFormatting sqref="H87">
    <cfRule type="cellIs" dxfId="197" priority="172" operator="equal">
      <formula>"SoldTH"</formula>
    </cfRule>
    <cfRule type="cellIs" dxfId="196" priority="173" operator="equal">
      <formula>"Unknown"</formula>
    </cfRule>
    <cfRule type="cellIs" dxfId="195" priority="174" operator="equal">
      <formula>"Loan"</formula>
    </cfRule>
    <cfRule type="cellIs" dxfId="194" priority="175" operator="equal">
      <formula>"Cash"</formula>
    </cfRule>
    <cfRule type="cellIs" dxfId="193" priority="176" operator="equal">
      <formula>"AvailableHK"</formula>
    </cfRule>
    <cfRule type="cellIs" dxfId="192" priority="177" operator="equal">
      <formula>"N/A"</formula>
    </cfRule>
    <cfRule type="cellIs" dxfId="191" priority="178" operator="equal">
      <formula>"AvailableCH"</formula>
    </cfRule>
    <cfRule type="cellIs" dxfId="190" priority="179" operator="equal">
      <formula>"AvailableTH"</formula>
    </cfRule>
    <cfRule type="cellIs" dxfId="189" priority="180" operator="equal">
      <formula>"SoldOS"</formula>
    </cfRule>
  </conditionalFormatting>
  <conditionalFormatting sqref="D82">
    <cfRule type="cellIs" dxfId="188" priority="163" operator="equal">
      <formula>"SoldTH"</formula>
    </cfRule>
    <cfRule type="cellIs" dxfId="187" priority="164" operator="equal">
      <formula>"Unknown"</formula>
    </cfRule>
    <cfRule type="cellIs" dxfId="186" priority="165" operator="equal">
      <formula>"Loan"</formula>
    </cfRule>
    <cfRule type="cellIs" dxfId="185" priority="166" operator="equal">
      <formula>"Cash"</formula>
    </cfRule>
    <cfRule type="cellIs" dxfId="184" priority="167" operator="equal">
      <formula>"AvailableHK"</formula>
    </cfRule>
    <cfRule type="cellIs" dxfId="183" priority="168" operator="equal">
      <formula>"N/A"</formula>
    </cfRule>
    <cfRule type="cellIs" dxfId="182" priority="169" operator="equal">
      <formula>"AvailableCH"</formula>
    </cfRule>
    <cfRule type="cellIs" dxfId="181" priority="170" operator="equal">
      <formula>"AvailableTH"</formula>
    </cfRule>
    <cfRule type="cellIs" dxfId="180" priority="171" operator="equal">
      <formula>"SoldOS"</formula>
    </cfRule>
  </conditionalFormatting>
  <conditionalFormatting sqref="H67">
    <cfRule type="cellIs" dxfId="179" priority="154" operator="equal">
      <formula>"SoldTH"</formula>
    </cfRule>
    <cfRule type="cellIs" dxfId="178" priority="155" operator="equal">
      <formula>"Unknown"</formula>
    </cfRule>
    <cfRule type="cellIs" dxfId="177" priority="156" operator="equal">
      <formula>"Loan"</formula>
    </cfRule>
    <cfRule type="cellIs" dxfId="176" priority="157" operator="equal">
      <formula>"Cash"</formula>
    </cfRule>
    <cfRule type="cellIs" dxfId="175" priority="158" operator="equal">
      <formula>"AvailableHK"</formula>
    </cfRule>
    <cfRule type="cellIs" dxfId="174" priority="159" operator="equal">
      <formula>"N/A"</formula>
    </cfRule>
    <cfRule type="cellIs" dxfId="173" priority="160" operator="equal">
      <formula>"AvailableCH"</formula>
    </cfRule>
    <cfRule type="cellIs" dxfId="172" priority="161" operator="equal">
      <formula>"AvailableTH"</formula>
    </cfRule>
    <cfRule type="cellIs" dxfId="171" priority="162" operator="equal">
      <formula>"SoldOS"</formula>
    </cfRule>
  </conditionalFormatting>
  <conditionalFormatting sqref="H67">
    <cfRule type="cellIs" dxfId="170" priority="145" operator="equal">
      <formula>"SoldTH"</formula>
    </cfRule>
    <cfRule type="cellIs" dxfId="169" priority="146" operator="equal">
      <formula>"Unknown"</formula>
    </cfRule>
    <cfRule type="cellIs" dxfId="168" priority="147" operator="equal">
      <formula>"Loan"</formula>
    </cfRule>
    <cfRule type="cellIs" dxfId="167" priority="148" operator="equal">
      <formula>"Cash"</formula>
    </cfRule>
    <cfRule type="cellIs" dxfId="166" priority="149" operator="equal">
      <formula>"AvailableHK"</formula>
    </cfRule>
    <cfRule type="cellIs" dxfId="165" priority="150" operator="equal">
      <formula>"N/A"</formula>
    </cfRule>
    <cfRule type="cellIs" dxfId="164" priority="151" operator="equal">
      <formula>"AvailableCH"</formula>
    </cfRule>
    <cfRule type="cellIs" dxfId="163" priority="152" operator="equal">
      <formula>"AvailableTH"</formula>
    </cfRule>
    <cfRule type="cellIs" dxfId="162" priority="153" operator="equal">
      <formula>"SoldOS"</formula>
    </cfRule>
  </conditionalFormatting>
  <conditionalFormatting sqref="F72">
    <cfRule type="cellIs" dxfId="161" priority="136" operator="equal">
      <formula>"SoldTH"</formula>
    </cfRule>
    <cfRule type="cellIs" dxfId="160" priority="137" operator="equal">
      <formula>"Unknown"</formula>
    </cfRule>
    <cfRule type="cellIs" dxfId="159" priority="138" operator="equal">
      <formula>"Loan"</formula>
    </cfRule>
    <cfRule type="cellIs" dxfId="158" priority="139" operator="equal">
      <formula>"Cash"</formula>
    </cfRule>
    <cfRule type="cellIs" dxfId="157" priority="140" operator="equal">
      <formula>"AvailableHK"</formula>
    </cfRule>
    <cfRule type="cellIs" dxfId="156" priority="141" operator="equal">
      <formula>"N/A"</formula>
    </cfRule>
    <cfRule type="cellIs" dxfId="155" priority="142" operator="equal">
      <formula>"AvailableCH"</formula>
    </cfRule>
    <cfRule type="cellIs" dxfId="154" priority="143" operator="equal">
      <formula>"AvailableTH"</formula>
    </cfRule>
    <cfRule type="cellIs" dxfId="153" priority="144" operator="equal">
      <formula>"SoldOS"</formula>
    </cfRule>
  </conditionalFormatting>
  <conditionalFormatting sqref="F72">
    <cfRule type="cellIs" dxfId="152" priority="127" operator="equal">
      <formula>"SoldTH"</formula>
    </cfRule>
    <cfRule type="cellIs" dxfId="151" priority="128" operator="equal">
      <formula>"Unknown"</formula>
    </cfRule>
    <cfRule type="cellIs" dxfId="150" priority="129" operator="equal">
      <formula>"Loan"</formula>
    </cfRule>
    <cfRule type="cellIs" dxfId="149" priority="130" operator="equal">
      <formula>"Cash"</formula>
    </cfRule>
    <cfRule type="cellIs" dxfId="148" priority="131" operator="equal">
      <formula>"AvailableHK"</formula>
    </cfRule>
    <cfRule type="cellIs" dxfId="147" priority="132" operator="equal">
      <formula>"N/A"</formula>
    </cfRule>
    <cfRule type="cellIs" dxfId="146" priority="133" operator="equal">
      <formula>"AvailableCH"</formula>
    </cfRule>
    <cfRule type="cellIs" dxfId="145" priority="134" operator="equal">
      <formula>"AvailableTH"</formula>
    </cfRule>
    <cfRule type="cellIs" dxfId="144" priority="135" operator="equal">
      <formula>"SoldOS"</formula>
    </cfRule>
  </conditionalFormatting>
  <conditionalFormatting sqref="E72">
    <cfRule type="cellIs" dxfId="143" priority="118" operator="equal">
      <formula>"SoldTH"</formula>
    </cfRule>
    <cfRule type="cellIs" dxfId="142" priority="119" operator="equal">
      <formula>"Unknown"</formula>
    </cfRule>
    <cfRule type="cellIs" dxfId="141" priority="120" operator="equal">
      <formula>"Loan"</formula>
    </cfRule>
    <cfRule type="cellIs" dxfId="140" priority="121" operator="equal">
      <formula>"Cash"</formula>
    </cfRule>
    <cfRule type="cellIs" dxfId="139" priority="122" operator="equal">
      <formula>"AvailableHK"</formula>
    </cfRule>
    <cfRule type="cellIs" dxfId="138" priority="123" operator="equal">
      <formula>"N/A"</formula>
    </cfRule>
    <cfRule type="cellIs" dxfId="137" priority="124" operator="equal">
      <formula>"AvailableCH"</formula>
    </cfRule>
    <cfRule type="cellIs" dxfId="136" priority="125" operator="equal">
      <formula>"AvailableTH"</formula>
    </cfRule>
    <cfRule type="cellIs" dxfId="135" priority="126" operator="equal">
      <formula>"SoldOS"</formula>
    </cfRule>
  </conditionalFormatting>
  <conditionalFormatting sqref="E72">
    <cfRule type="cellIs" dxfId="134" priority="109" operator="equal">
      <formula>"SoldTH"</formula>
    </cfRule>
    <cfRule type="cellIs" dxfId="133" priority="110" operator="equal">
      <formula>"Unknown"</formula>
    </cfRule>
    <cfRule type="cellIs" dxfId="132" priority="111" operator="equal">
      <formula>"Loan"</formula>
    </cfRule>
    <cfRule type="cellIs" dxfId="131" priority="112" operator="equal">
      <formula>"Cash"</formula>
    </cfRule>
    <cfRule type="cellIs" dxfId="130" priority="113" operator="equal">
      <formula>"AvailableHK"</formula>
    </cfRule>
    <cfRule type="cellIs" dxfId="129" priority="114" operator="equal">
      <formula>"N/A"</formula>
    </cfRule>
    <cfRule type="cellIs" dxfId="128" priority="115" operator="equal">
      <formula>"AvailableCH"</formula>
    </cfRule>
    <cfRule type="cellIs" dxfId="127" priority="116" operator="equal">
      <formula>"AvailableTH"</formula>
    </cfRule>
    <cfRule type="cellIs" dxfId="126" priority="117" operator="equal">
      <formula>"SoldOS"</formula>
    </cfRule>
  </conditionalFormatting>
  <conditionalFormatting sqref="D67">
    <cfRule type="cellIs" dxfId="125" priority="100" operator="equal">
      <formula>"SoldTH"</formula>
    </cfRule>
    <cfRule type="cellIs" dxfId="124" priority="101" operator="equal">
      <formula>"Unknown"</formula>
    </cfRule>
    <cfRule type="cellIs" dxfId="123" priority="102" operator="equal">
      <formula>"Loan"</formula>
    </cfRule>
    <cfRule type="cellIs" dxfId="122" priority="103" operator="equal">
      <formula>"Cash"</formula>
    </cfRule>
    <cfRule type="cellIs" dxfId="121" priority="104" operator="equal">
      <formula>"AvailableHK"</formula>
    </cfRule>
    <cfRule type="cellIs" dxfId="120" priority="105" operator="equal">
      <formula>"N/A"</formula>
    </cfRule>
    <cfRule type="cellIs" dxfId="119" priority="106" operator="equal">
      <formula>"AvailableCH"</formula>
    </cfRule>
    <cfRule type="cellIs" dxfId="118" priority="107" operator="equal">
      <formula>"AvailableTH"</formula>
    </cfRule>
    <cfRule type="cellIs" dxfId="117" priority="108" operator="equal">
      <formula>"SoldOS"</formula>
    </cfRule>
  </conditionalFormatting>
  <conditionalFormatting sqref="D67">
    <cfRule type="cellIs" dxfId="116" priority="91" operator="equal">
      <formula>"SoldTH"</formula>
    </cfRule>
    <cfRule type="cellIs" dxfId="115" priority="92" operator="equal">
      <formula>"Unknown"</formula>
    </cfRule>
    <cfRule type="cellIs" dxfId="114" priority="93" operator="equal">
      <formula>"Loan"</formula>
    </cfRule>
    <cfRule type="cellIs" dxfId="113" priority="94" operator="equal">
      <formula>"Cash"</formula>
    </cfRule>
    <cfRule type="cellIs" dxfId="112" priority="95" operator="equal">
      <formula>"AvailableHK"</formula>
    </cfRule>
    <cfRule type="cellIs" dxfId="111" priority="96" operator="equal">
      <formula>"N/A"</formula>
    </cfRule>
    <cfRule type="cellIs" dxfId="110" priority="97" operator="equal">
      <formula>"AvailableCH"</formula>
    </cfRule>
    <cfRule type="cellIs" dxfId="109" priority="98" operator="equal">
      <formula>"AvailableTH"</formula>
    </cfRule>
    <cfRule type="cellIs" dxfId="108" priority="99" operator="equal">
      <formula>"SoldOS"</formula>
    </cfRule>
  </conditionalFormatting>
  <conditionalFormatting sqref="F67">
    <cfRule type="cellIs" dxfId="107" priority="82" operator="equal">
      <formula>"SoldTH"</formula>
    </cfRule>
    <cfRule type="cellIs" dxfId="106" priority="83" operator="equal">
      <formula>"Unknown"</formula>
    </cfRule>
    <cfRule type="cellIs" dxfId="105" priority="84" operator="equal">
      <formula>"Loan"</formula>
    </cfRule>
    <cfRule type="cellIs" dxfId="104" priority="85" operator="equal">
      <formula>"Cash"</formula>
    </cfRule>
    <cfRule type="cellIs" dxfId="103" priority="86" operator="equal">
      <formula>"AvailableHK"</formula>
    </cfRule>
    <cfRule type="cellIs" dxfId="102" priority="87" operator="equal">
      <formula>"N/A"</formula>
    </cfRule>
    <cfRule type="cellIs" dxfId="101" priority="88" operator="equal">
      <formula>"AvailableCH"</formula>
    </cfRule>
    <cfRule type="cellIs" dxfId="100" priority="89" operator="equal">
      <formula>"AvailableTH"</formula>
    </cfRule>
    <cfRule type="cellIs" dxfId="99" priority="90" operator="equal">
      <formula>"SoldOS"</formula>
    </cfRule>
  </conditionalFormatting>
  <conditionalFormatting sqref="F67">
    <cfRule type="cellIs" dxfId="98" priority="73" operator="equal">
      <formula>"SoldTH"</formula>
    </cfRule>
    <cfRule type="cellIs" dxfId="97" priority="74" operator="equal">
      <formula>"Unknown"</formula>
    </cfRule>
    <cfRule type="cellIs" dxfId="96" priority="75" operator="equal">
      <formula>"Loan"</formula>
    </cfRule>
    <cfRule type="cellIs" dxfId="95" priority="76" operator="equal">
      <formula>"Cash"</formula>
    </cfRule>
    <cfRule type="cellIs" dxfId="94" priority="77" operator="equal">
      <formula>"AvailableHK"</formula>
    </cfRule>
    <cfRule type="cellIs" dxfId="93" priority="78" operator="equal">
      <formula>"N/A"</formula>
    </cfRule>
    <cfRule type="cellIs" dxfId="92" priority="79" operator="equal">
      <formula>"AvailableCH"</formula>
    </cfRule>
    <cfRule type="cellIs" dxfId="91" priority="80" operator="equal">
      <formula>"AvailableTH"</formula>
    </cfRule>
    <cfRule type="cellIs" dxfId="90" priority="81" operator="equal">
      <formula>"SoldOS"</formula>
    </cfRule>
  </conditionalFormatting>
  <conditionalFormatting sqref="F52">
    <cfRule type="cellIs" dxfId="89" priority="64" operator="equal">
      <formula>"SoldTH"</formula>
    </cfRule>
    <cfRule type="cellIs" dxfId="88" priority="65" operator="equal">
      <formula>"Unknown"</formula>
    </cfRule>
    <cfRule type="cellIs" dxfId="87" priority="66" operator="equal">
      <formula>"Loan"</formula>
    </cfRule>
    <cfRule type="cellIs" dxfId="86" priority="67" operator="equal">
      <formula>"Cash"</formula>
    </cfRule>
    <cfRule type="cellIs" dxfId="85" priority="68" operator="equal">
      <formula>"AvailableHK"</formula>
    </cfRule>
    <cfRule type="cellIs" dxfId="84" priority="69" operator="equal">
      <formula>"N/A"</formula>
    </cfRule>
    <cfRule type="cellIs" dxfId="83" priority="70" operator="equal">
      <formula>"AvailableCH"</formula>
    </cfRule>
    <cfRule type="cellIs" dxfId="82" priority="71" operator="equal">
      <formula>"AvailableTH"</formula>
    </cfRule>
    <cfRule type="cellIs" dxfId="81" priority="72" operator="equal">
      <formula>"SoldOS"</formula>
    </cfRule>
  </conditionalFormatting>
  <conditionalFormatting sqref="F52">
    <cfRule type="cellIs" dxfId="80" priority="55" operator="equal">
      <formula>"SoldTH"</formula>
    </cfRule>
    <cfRule type="cellIs" dxfId="79" priority="56" operator="equal">
      <formula>"Unknown"</formula>
    </cfRule>
    <cfRule type="cellIs" dxfId="78" priority="57" operator="equal">
      <formula>"Loan"</formula>
    </cfRule>
    <cfRule type="cellIs" dxfId="77" priority="58" operator="equal">
      <formula>"Cash"</formula>
    </cfRule>
    <cfRule type="cellIs" dxfId="76" priority="59" operator="equal">
      <formula>"AvailableHK"</formula>
    </cfRule>
    <cfRule type="cellIs" dxfId="75" priority="60" operator="equal">
      <formula>"N/A"</formula>
    </cfRule>
    <cfRule type="cellIs" dxfId="74" priority="61" operator="equal">
      <formula>"AvailableCH"</formula>
    </cfRule>
    <cfRule type="cellIs" dxfId="73" priority="62" operator="equal">
      <formula>"AvailableTH"</formula>
    </cfRule>
    <cfRule type="cellIs" dxfId="72" priority="63" operator="equal">
      <formula>"SoldOS"</formula>
    </cfRule>
  </conditionalFormatting>
  <conditionalFormatting sqref="D17">
    <cfRule type="cellIs" dxfId="71" priority="1" operator="equal">
      <formula>"SoldTH"</formula>
    </cfRule>
    <cfRule type="cellIs" dxfId="70" priority="2" operator="equal">
      <formula>"Unknown"</formula>
    </cfRule>
    <cfRule type="cellIs" dxfId="69" priority="3" operator="equal">
      <formula>"Loan"</formula>
    </cfRule>
    <cfRule type="cellIs" dxfId="68" priority="4" operator="equal">
      <formula>"Cash"</formula>
    </cfRule>
    <cfRule type="cellIs" dxfId="67" priority="5" operator="equal">
      <formula>"AvailableHK"</formula>
    </cfRule>
    <cfRule type="cellIs" dxfId="66" priority="6" operator="equal">
      <formula>"N/A"</formula>
    </cfRule>
    <cfRule type="cellIs" dxfId="65" priority="7" operator="equal">
      <formula>"AvailableCH"</formula>
    </cfRule>
    <cfRule type="cellIs" dxfId="64" priority="8" operator="equal">
      <formula>"AvailableTH"</formula>
    </cfRule>
    <cfRule type="cellIs" dxfId="63" priority="9" operator="equal">
      <formula>"SoldOS"</formula>
    </cfRule>
  </conditionalFormatting>
  <conditionalFormatting sqref="H12">
    <cfRule type="cellIs" dxfId="53" priority="46" operator="equal">
      <formula>"SoldTH"</formula>
    </cfRule>
    <cfRule type="cellIs" dxfId="52" priority="47" operator="equal">
      <formula>"Unknown"</formula>
    </cfRule>
    <cfRule type="cellIs" dxfId="51" priority="48" operator="equal">
      <formula>"Loan"</formula>
    </cfRule>
    <cfRule type="cellIs" dxfId="50" priority="49" operator="equal">
      <formula>"Cash"</formula>
    </cfRule>
    <cfRule type="cellIs" dxfId="49" priority="50" operator="equal">
      <formula>"AvailableHK"</formula>
    </cfRule>
    <cfRule type="cellIs" dxfId="48" priority="51" operator="equal">
      <formula>"N/A"</formula>
    </cfRule>
    <cfRule type="cellIs" dxfId="47" priority="52" operator="equal">
      <formula>"AvailableCH"</formula>
    </cfRule>
    <cfRule type="cellIs" dxfId="46" priority="53" operator="equal">
      <formula>"AvailableTH"</formula>
    </cfRule>
    <cfRule type="cellIs" dxfId="45" priority="54" operator="equal">
      <formula>"SoldOS"</formula>
    </cfRule>
  </conditionalFormatting>
  <conditionalFormatting sqref="H12">
    <cfRule type="cellIs" dxfId="44" priority="37" operator="equal">
      <formula>"SoldTH"</formula>
    </cfRule>
    <cfRule type="cellIs" dxfId="43" priority="38" operator="equal">
      <formula>"Unknown"</formula>
    </cfRule>
    <cfRule type="cellIs" dxfId="42" priority="39" operator="equal">
      <formula>"Loan"</formula>
    </cfRule>
    <cfRule type="cellIs" dxfId="41" priority="40" operator="equal">
      <formula>"Cash"</formula>
    </cfRule>
    <cfRule type="cellIs" dxfId="40" priority="41" operator="equal">
      <formula>"AvailableHK"</formula>
    </cfRule>
    <cfRule type="cellIs" dxfId="39" priority="42" operator="equal">
      <formula>"N/A"</formula>
    </cfRule>
    <cfRule type="cellIs" dxfId="38" priority="43" operator="equal">
      <formula>"AvailableCH"</formula>
    </cfRule>
    <cfRule type="cellIs" dxfId="37" priority="44" operator="equal">
      <formula>"AvailableTH"</formula>
    </cfRule>
    <cfRule type="cellIs" dxfId="36" priority="45" operator="equal">
      <formula>"SoldOS"</formula>
    </cfRule>
  </conditionalFormatting>
  <conditionalFormatting sqref="F17">
    <cfRule type="cellIs" dxfId="35" priority="28" operator="equal">
      <formula>"SoldTH"</formula>
    </cfRule>
    <cfRule type="cellIs" dxfId="34" priority="29" operator="equal">
      <formula>"Unknown"</formula>
    </cfRule>
    <cfRule type="cellIs" dxfId="33" priority="30" operator="equal">
      <formula>"Loan"</formula>
    </cfRule>
    <cfRule type="cellIs" dxfId="32" priority="31" operator="equal">
      <formula>"Cash"</formula>
    </cfRule>
    <cfRule type="cellIs" dxfId="31" priority="32" operator="equal">
      <formula>"AvailableHK"</formula>
    </cfRule>
    <cfRule type="cellIs" dxfId="30" priority="33" operator="equal">
      <formula>"N/A"</formula>
    </cfRule>
    <cfRule type="cellIs" dxfId="29" priority="34" operator="equal">
      <formula>"AvailableCH"</formula>
    </cfRule>
    <cfRule type="cellIs" dxfId="28" priority="35" operator="equal">
      <formula>"AvailableTH"</formula>
    </cfRule>
    <cfRule type="cellIs" dxfId="27" priority="36" operator="equal">
      <formula>"SoldOS"</formula>
    </cfRule>
  </conditionalFormatting>
  <conditionalFormatting sqref="F17">
    <cfRule type="cellIs" dxfId="26" priority="19" operator="equal">
      <formula>"SoldTH"</formula>
    </cfRule>
    <cfRule type="cellIs" dxfId="25" priority="20" operator="equal">
      <formula>"Unknown"</formula>
    </cfRule>
    <cfRule type="cellIs" dxfId="24" priority="21" operator="equal">
      <formula>"Loan"</formula>
    </cfRule>
    <cfRule type="cellIs" dxfId="23" priority="22" operator="equal">
      <formula>"Cash"</formula>
    </cfRule>
    <cfRule type="cellIs" dxfId="22" priority="23" operator="equal">
      <formula>"AvailableHK"</formula>
    </cfRule>
    <cfRule type="cellIs" dxfId="21" priority="24" operator="equal">
      <formula>"N/A"</formula>
    </cfRule>
    <cfRule type="cellIs" dxfId="20" priority="25" operator="equal">
      <formula>"AvailableCH"</formula>
    </cfRule>
    <cfRule type="cellIs" dxfId="19" priority="26" operator="equal">
      <formula>"AvailableTH"</formula>
    </cfRule>
    <cfRule type="cellIs" dxfId="18" priority="27" operator="equal">
      <formula>"SoldOS"</formula>
    </cfRule>
  </conditionalFormatting>
  <conditionalFormatting sqref="D17">
    <cfRule type="cellIs" dxfId="17" priority="10" operator="equal">
      <formula>"SoldTH"</formula>
    </cfRule>
    <cfRule type="cellIs" dxfId="16" priority="11" operator="equal">
      <formula>"Unknown"</formula>
    </cfRule>
    <cfRule type="cellIs" dxfId="15" priority="12" operator="equal">
      <formula>"Loan"</formula>
    </cfRule>
    <cfRule type="cellIs" dxfId="14" priority="13" operator="equal">
      <formula>"Cash"</formula>
    </cfRule>
    <cfRule type="cellIs" dxfId="13" priority="14" operator="equal">
      <formula>"AvailableHK"</formula>
    </cfRule>
    <cfRule type="cellIs" dxfId="12" priority="15" operator="equal">
      <formula>"N/A"</formula>
    </cfRule>
    <cfRule type="cellIs" dxfId="11" priority="16" operator="equal">
      <formula>"AvailableCH"</formula>
    </cfRule>
    <cfRule type="cellIs" dxfId="10" priority="17" operator="equal">
      <formula>"AvailableTH"</formula>
    </cfRule>
    <cfRule type="cellIs" dxfId="9" priority="18" operator="equal">
      <formula>"SoldOS"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รายงานยอดขาย-โอน</vt:lpstr>
      <vt:lpstr>Matrix</vt:lpstr>
    </vt:vector>
  </TitlesOfParts>
  <Company>Stimulsoft Reports 2015.3.0 from 1 December 2015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RP_FI002_รายงานสินค้า_20250717</dc:title>
  <dc:subject>RP_FI002_รายงานสินค้า_20250717</dc:subject>
  <dc:creator>Anchalee Munkhit</dc:creator>
  <dc:description/>
  <cp:lastModifiedBy>Gunt Malithong</cp:lastModifiedBy>
  <dcterms:created xsi:type="dcterms:W3CDTF">2025-07-17T09:24:23Z</dcterms:created>
  <dcterms:modified xsi:type="dcterms:W3CDTF">2026-06-29T10:14:53Z</dcterms:modified>
</cp:coreProperties>
</file>